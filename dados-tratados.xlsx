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esktop\TESTE-ANALISTA-SBF\"/>
    </mc:Choice>
  </mc:AlternateContent>
  <xr:revisionPtr revIDLastSave="0" documentId="13_ncr:1_{59D5D9A6-E80C-4F0C-A52A-0DC72751A7A7}" xr6:coauthVersionLast="47" xr6:coauthVersionMax="47" xr10:uidLastSave="{00000000-0000-0000-0000-000000000000}"/>
  <bookViews>
    <workbookView xWindow="-120" yWindow="-120" windowWidth="29040" windowHeight="15720" activeTab="1" xr2:uid="{00000000-000D-0000-FFFF-FFFF00000000}"/>
  </bookViews>
  <sheets>
    <sheet name="Sheet1" sheetId="2" r:id="rId1"/>
    <sheet name="exercicios " sheetId="3" r:id="rId2"/>
    <sheet name="resolucao" sheetId="1" r:id="rId3"/>
  </sheets>
  <calcPr calcId="181029"/>
</workbook>
</file>

<file path=xl/calcChain.xml><?xml version="1.0" encoding="utf-8"?>
<calcChain xmlns="http://schemas.openxmlformats.org/spreadsheetml/2006/main">
  <c r="O101" i="2" l="1"/>
  <c r="O98" i="2"/>
  <c r="O95" i="2"/>
  <c r="O92" i="2"/>
  <c r="O89" i="2"/>
  <c r="O86" i="2"/>
  <c r="O83" i="2"/>
  <c r="O80" i="2"/>
  <c r="O77" i="2"/>
  <c r="O74" i="2"/>
  <c r="O71" i="2"/>
  <c r="O68" i="2"/>
  <c r="O65" i="2"/>
  <c r="O62" i="2"/>
  <c r="O59" i="2"/>
  <c r="O56" i="2"/>
  <c r="O53" i="2"/>
  <c r="O50" i="2"/>
  <c r="O47" i="2"/>
  <c r="O44" i="2"/>
  <c r="O41" i="2"/>
  <c r="O38" i="2"/>
  <c r="O35" i="2"/>
  <c r="O32" i="2"/>
  <c r="O30" i="2"/>
  <c r="O27" i="2"/>
  <c r="O25" i="2"/>
  <c r="O22" i="2"/>
  <c r="O21" i="2"/>
  <c r="O18" i="2"/>
  <c r="O14" i="2"/>
  <c r="O12" i="2"/>
  <c r="O10" i="2"/>
  <c r="O7" i="2"/>
  <c r="O5" i="2"/>
  <c r="O2" i="2"/>
</calcChain>
</file>

<file path=xl/sharedStrings.xml><?xml version="1.0" encoding="utf-8"?>
<sst xmlns="http://schemas.openxmlformats.org/spreadsheetml/2006/main" count="649" uniqueCount="242">
  <si>
    <t>Top 10: Risco de Quebra</t>
  </si>
  <si>
    <t>Cobertura (Dias)</t>
  </si>
  <si>
    <t>Curva A (Vilões do Caixa)</t>
  </si>
  <si>
    <t>Valor Travado (R$)</t>
  </si>
  <si>
    <t>Auditoria de Deadline Logístico</t>
  </si>
  <si>
    <t>Volume de SKUs</t>
  </si>
  <si>
    <t>Luva Musculacao</t>
  </si>
  <si>
    <t>Tenis Nike Renew</t>
  </si>
  <si>
    <t>Postergado para APÓS 15/02</t>
  </si>
  <si>
    <t>Bermuda Termica</t>
  </si>
  <si>
    <t>Tenis Nike Downshifter</t>
  </si>
  <si>
    <t>Postagem no Prazo</t>
  </si>
  <si>
    <t>Blusa Moletom</t>
  </si>
  <si>
    <t>Tenis Nike Zoom Fly</t>
  </si>
  <si>
    <t>Pochete Corrida</t>
  </si>
  <si>
    <t>Tenis Nike SB</t>
  </si>
  <si>
    <t>Tenis Nike Precision</t>
  </si>
  <si>
    <t>Tenis Nike Waffle</t>
  </si>
  <si>
    <t>Camiseta Polo</t>
  </si>
  <si>
    <t>Shorts Corrida</t>
  </si>
  <si>
    <t>Tenis Centauro Run</t>
  </si>
  <si>
    <t>Meia Cano Alto</t>
  </si>
  <si>
    <t>Tenis Nike Tanjun</t>
  </si>
  <si>
    <t>ID_Produto</t>
  </si>
  <si>
    <t>Nome_Produto</t>
  </si>
  <si>
    <t>Categoria</t>
  </si>
  <si>
    <t>Data_Registro</t>
  </si>
  <si>
    <t>Estoque_Atual</t>
  </si>
  <si>
    <t>Estoque_Minimo</t>
  </si>
  <si>
    <t>Custo_Unitario</t>
  </si>
  <si>
    <t>Venda_Media_Diaria</t>
  </si>
  <si>
    <t>Lead_Time_Fornecedor</t>
  </si>
  <si>
    <t>Status_Entrega</t>
  </si>
  <si>
    <t>Valor_Total_Estoque</t>
  </si>
  <si>
    <t>Cobertura_Estoque_Dias</t>
  </si>
  <si>
    <t>Top_20%_Valor</t>
  </si>
  <si>
    <t>Top_20_Valor</t>
  </si>
  <si>
    <t>Data_Prevista_Chegada</t>
  </si>
  <si>
    <t>P001</t>
  </si>
  <si>
    <t>Tenis Nike Air Max</t>
  </si>
  <si>
    <t>Calçados</t>
  </si>
  <si>
    <t>No Prazo</t>
  </si>
  <si>
    <t>Não</t>
  </si>
  <si>
    <t>P002</t>
  </si>
  <si>
    <t>Camiseta Dry Fit</t>
  </si>
  <si>
    <t>Roupas</t>
  </si>
  <si>
    <t>P003</t>
  </si>
  <si>
    <t>Bola de Futebol</t>
  </si>
  <si>
    <t>Acessórios</t>
  </si>
  <si>
    <t>Atrasado</t>
  </si>
  <si>
    <t>P004</t>
  </si>
  <si>
    <t>P005</t>
  </si>
  <si>
    <t>P006</t>
  </si>
  <si>
    <t>Meia Performance</t>
  </si>
  <si>
    <t>P007</t>
  </si>
  <si>
    <t>Chuteira Futsal</t>
  </si>
  <si>
    <t>Critico</t>
  </si>
  <si>
    <t>P008</t>
  </si>
  <si>
    <t>Garrafa Termica</t>
  </si>
  <si>
    <t>P009</t>
  </si>
  <si>
    <t>Jaqueta Corta Vento</t>
  </si>
  <si>
    <t>P010</t>
  </si>
  <si>
    <t>Top Fitness</t>
  </si>
  <si>
    <t>P011</t>
  </si>
  <si>
    <t>Tenis Nike Pegasus</t>
  </si>
  <si>
    <t>P012</t>
  </si>
  <si>
    <t>Mochila Esportiva</t>
  </si>
  <si>
    <t>P013</t>
  </si>
  <si>
    <t>Calca Moletom</t>
  </si>
  <si>
    <t>P014</t>
  </si>
  <si>
    <t>P015</t>
  </si>
  <si>
    <t>Sim</t>
  </si>
  <si>
    <t>P016</t>
  </si>
  <si>
    <t>Viseira Sol</t>
  </si>
  <si>
    <t>P017</t>
  </si>
  <si>
    <t>Camiseta Nike Pro</t>
  </si>
  <si>
    <t>P018</t>
  </si>
  <si>
    <t>P019</t>
  </si>
  <si>
    <t>Tenis Nike Joyride</t>
  </si>
  <si>
    <t>P020</t>
  </si>
  <si>
    <t>Agasalho Treino</t>
  </si>
  <si>
    <t>P021</t>
  </si>
  <si>
    <t>Tenis Nike Revolution</t>
  </si>
  <si>
    <t>P022</t>
  </si>
  <si>
    <t>P023</t>
  </si>
  <si>
    <t>Boné Heritage</t>
  </si>
  <si>
    <t>P024</t>
  </si>
  <si>
    <t>Kimono Jiu Jitsu</t>
  </si>
  <si>
    <t>P025</t>
  </si>
  <si>
    <t>Tenis Nike Metcon</t>
  </si>
  <si>
    <t>P026</t>
  </si>
  <si>
    <t>Caneleira Futebol</t>
  </si>
  <si>
    <t>P027</t>
  </si>
  <si>
    <t>Maiô Natacao</t>
  </si>
  <si>
    <t>P028</t>
  </si>
  <si>
    <t>Tenis Nike Winflo</t>
  </si>
  <si>
    <t>P029</t>
  </si>
  <si>
    <t>Tapete Yoga</t>
  </si>
  <si>
    <t>P030</t>
  </si>
  <si>
    <t>Camiseta Regata</t>
  </si>
  <si>
    <t>P031</t>
  </si>
  <si>
    <t>Tenis Nike Vomero</t>
  </si>
  <si>
    <t>P032</t>
  </si>
  <si>
    <t>Oculos Natacao</t>
  </si>
  <si>
    <t>P033</t>
  </si>
  <si>
    <t>Calca Legging</t>
  </si>
  <si>
    <t>P034</t>
  </si>
  <si>
    <t>P035</t>
  </si>
  <si>
    <t>Bolsa Academia</t>
  </si>
  <si>
    <t>P036</t>
  </si>
  <si>
    <t>P037</t>
  </si>
  <si>
    <t>Tenis Nike Quest</t>
  </si>
  <si>
    <t>P038</t>
  </si>
  <si>
    <t>Meiao Futebol</t>
  </si>
  <si>
    <t>P039</t>
  </si>
  <si>
    <t>Squeeze Plastico</t>
  </si>
  <si>
    <t>P040</t>
  </si>
  <si>
    <t>Shorts Tenis</t>
  </si>
  <si>
    <t>P041</t>
  </si>
  <si>
    <t>Tenis Nike Invincible</t>
  </si>
  <si>
    <t>P042</t>
  </si>
  <si>
    <t>Munhequeira</t>
  </si>
  <si>
    <t>P043</t>
  </si>
  <si>
    <t>Camiseta Algodao</t>
  </si>
  <si>
    <t>P044</t>
  </si>
  <si>
    <t>Tenis Nike Ryz</t>
  </si>
  <si>
    <t>P045</t>
  </si>
  <si>
    <t>Corda de Pular</t>
  </si>
  <si>
    <t>P046</t>
  </si>
  <si>
    <t>Kimono Karate</t>
  </si>
  <si>
    <t>P047</t>
  </si>
  <si>
    <t>Tenis Nike Court</t>
  </si>
  <si>
    <t>P048</t>
  </si>
  <si>
    <t>Luva Goleiro</t>
  </si>
  <si>
    <t>P049</t>
  </si>
  <si>
    <t>Top Compressao</t>
  </si>
  <si>
    <t>P050</t>
  </si>
  <si>
    <t>Tenis Nike Wildhorse</t>
  </si>
  <si>
    <t>P051</t>
  </si>
  <si>
    <t>P052</t>
  </si>
  <si>
    <t>Camiseta Manga Longa</t>
  </si>
  <si>
    <t>P053</t>
  </si>
  <si>
    <t>Tenis Nike Superrep</t>
  </si>
  <si>
    <t>P054</t>
  </si>
  <si>
    <t>Bola Basquete</t>
  </si>
  <si>
    <t>P055</t>
  </si>
  <si>
    <t>Bermuda Surf</t>
  </si>
  <si>
    <t>P056</t>
  </si>
  <si>
    <t>Tenis Nike Juniper</t>
  </si>
  <si>
    <t>P057</t>
  </si>
  <si>
    <t>Toalha Microfibra</t>
  </si>
  <si>
    <t>P058</t>
  </si>
  <si>
    <t>Shorts Ciclista</t>
  </si>
  <si>
    <t>P059</t>
  </si>
  <si>
    <t>P060</t>
  </si>
  <si>
    <t>Relogio Esportivo</t>
  </si>
  <si>
    <t>P061</t>
  </si>
  <si>
    <t>Jaqueta Corta Vento Elite</t>
  </si>
  <si>
    <t>P062</t>
  </si>
  <si>
    <t>P063</t>
  </si>
  <si>
    <t>Faixa Elastica</t>
  </si>
  <si>
    <t>P064</t>
  </si>
  <si>
    <t>P065</t>
  </si>
  <si>
    <t>Tenis Nike Blazer</t>
  </si>
  <si>
    <t>P066</t>
  </si>
  <si>
    <t>Bone Aba Reta</t>
  </si>
  <si>
    <t>P067</t>
  </si>
  <si>
    <t>Calca Jogger</t>
  </si>
  <si>
    <t>P068</t>
  </si>
  <si>
    <t>Tenis Nike Air Force</t>
  </si>
  <si>
    <t>P069</t>
  </si>
  <si>
    <t>Mala Viagem P</t>
  </si>
  <si>
    <t>P070</t>
  </si>
  <si>
    <t>Top Bojo Removivel</t>
  </si>
  <si>
    <t>P071</t>
  </si>
  <si>
    <t>P072</t>
  </si>
  <si>
    <t>Joelheira Neoprene</t>
  </si>
  <si>
    <t>P073</t>
  </si>
  <si>
    <t>Camiseta Estampada</t>
  </si>
  <si>
    <t>P074</t>
  </si>
  <si>
    <t>P075</t>
  </si>
  <si>
    <t>Lanterna de Cabeça</t>
  </si>
  <si>
    <t>P076</t>
  </si>
  <si>
    <t>Maiô Competicao</t>
  </si>
  <si>
    <t>P077</t>
  </si>
  <si>
    <t>P078</t>
  </si>
  <si>
    <t>Garrafa Inox</t>
  </si>
  <si>
    <t>P079</t>
  </si>
  <si>
    <t>Shorts Duplo Corrida</t>
  </si>
  <si>
    <t>P080</t>
  </si>
  <si>
    <t>Tenis Nike Structure</t>
  </si>
  <si>
    <t>P081</t>
  </si>
  <si>
    <t>Saco de Pancada</t>
  </si>
  <si>
    <t>P082</t>
  </si>
  <si>
    <t>Camiseta Treino Nike</t>
  </si>
  <si>
    <t>P083</t>
  </si>
  <si>
    <t>Tenis Nike Huarache</t>
  </si>
  <si>
    <t>P084</t>
  </si>
  <si>
    <t>Bandagem Boxe</t>
  </si>
  <si>
    <t>P085</t>
  </si>
  <si>
    <t>Calca Termica Masculina</t>
  </si>
  <si>
    <t>P086</t>
  </si>
  <si>
    <t>Tenis Nike Presto</t>
  </si>
  <si>
    <t>P087</t>
  </si>
  <si>
    <t>Mochila Hidratacao</t>
  </si>
  <si>
    <t>P088</t>
  </si>
  <si>
    <t>Shorts Saia Fitness</t>
  </si>
  <si>
    <t>P089</t>
  </si>
  <si>
    <t>Tenis Nike Vaporfly</t>
  </si>
  <si>
    <t>P090</t>
  </si>
  <si>
    <t>Chapeu de Sol</t>
  </si>
  <si>
    <t>P091</t>
  </si>
  <si>
    <t>Regata Dry Fit Masculina</t>
  </si>
  <si>
    <t>P092</t>
  </si>
  <si>
    <t>Tenis Nike Air Max Excee</t>
  </si>
  <si>
    <t>P093</t>
  </si>
  <si>
    <t>Corda Naval</t>
  </si>
  <si>
    <t>P094</t>
  </si>
  <si>
    <t>Camiseta UV Protection</t>
  </si>
  <si>
    <t>P095</t>
  </si>
  <si>
    <t>Tenis Nike Legend</t>
  </si>
  <si>
    <t>P096</t>
  </si>
  <si>
    <t>Kit Meias 3 Pares</t>
  </si>
  <si>
    <t>P097</t>
  </si>
  <si>
    <t>Bermuda Compressao</t>
  </si>
  <si>
    <t>P098</t>
  </si>
  <si>
    <t>Tenis Nike Giannis</t>
  </si>
  <si>
    <t>P099</t>
  </si>
  <si>
    <t>Luva de Boxe</t>
  </si>
  <si>
    <t>P100</t>
  </si>
  <si>
    <t>Blusa Termica Feminina</t>
  </si>
  <si>
    <t xml:space="preserve">Exercicios </t>
  </si>
  <si>
    <t>1º Você recebeu uma extração bruta do sistema de inventário (Base de Dados). Sua missão é tratar e entregar essa base pronta para o uso da diretoria.
Instruções:
Nesta base, existem inconsistências que precisam ser identificadas e tratadas por você para garantir a integridade total dos dados e da análise.</t>
  </si>
  <si>
    <t>Para garantir a integridade da análise de inventário e viabilizar o Dashboard da diretoria, a extração bruta base-bruta.xlsx) foi submetida a um pipeline de dados via Python/Pandas focado em tratar dicionários sujos e enriquecer a base com métricas de Supply Chain. O racional metodológico (Problema &gt; Análise &gt; Solução) seguiu 6 etapas críticas:
Fase 1: Higienização e Recuperação de Estrutura
1. Exportação Colapsada:
Problema: O arquivo nativo não apresentava formato tabular. Era um CSV esmagado e embutido dentro da primeira coluna (A) do Excel.
Análise: É impossível processar métricas numéricas se categorias e números estão aglomerados na mesma string separados apenas por vírgulas.
Solução: Aplicação da lógica de Parsing (divisão por vírgula) para estilhaçar o texto e reconstruir fisicamente a estrutura em 10 colunas distintas com cabeçalhos padronizados.
2. Falsos Valores Ocultos e Null Handling:
Problema: Campos críticos vazios (como estoques faltantes) vieram preenchidos indevidamente pela palavra em texto "NULL".
Análise: O Excel e motores analíticos não conseguem somar ou multiplicar se uma célula armazena texto em vez de ser genuinamente um campo vazio (Null).
Solução: Substituição matricial em lote para aniquilar a string "NULL" da base, substituindo pelo formato Vazio autêntico, liberando os cálculos financeiros. Além disso, estoques negativos (erro de sistema físico) foram truncados para zero, refletindo a real indisponibilidade na prateleira.
3. Tipagem de Calendário Desconectada e Ghost Data:
Problema: Datas de leitura aterrissaram como texto comum e células vazias possuíam o espectro invisível "NaT" (Not a Time).
Análise: Calcular ressuprimento logístico exige operações temporais nativas. Textos forçariam o Excel a retornar erros, e o espectro "NaT" forçaria o Excel a transformar buracos vazios em 03/01/1900 distorcendo completamente o painel.
Solução: Realização do Type Casting explícito, travando a coluna com o tipo Datetime nativo (removendo as horas secas 00:00:00) e expurgo físico dos preenchimentos residuais de campos sem registro via engenharia fina (OpenPyXL).
Fase 2: Feature Engineering (Preparação Analítica da Base)
4. Ponto Cego de Capital Paralisado:
Problema: O arquivo possuía apenas a quantidade de peças e o custo separados. O valor retido era invisível.
Análise: Ranquear o risco de fluxo de caixa (Curva A) exige o agrupamento do montante financeiro total estocado de cada item.
Solução: Originação da coluna Valor_Total_Estoque multiplicando as features (Estoque x Custo) e a criação da flag booleana da Curva Pareto (Top_20_Valor Sim/Não) via algoritmo de Soma Cumulativa (CumSum).
5. Alarme de Ruptura (Stockout) Faltante:
Problema: Apenas a variável Estoque_Atual não sinaliza urgência sem balizamento da vazão. Mero estoque não emite alarme.
Análise: Itens com pouco estoque, mas com baixo giro duram meses. É a tração das vendas associada ao estoque que deflagra a ruptura de armazém iminente.
Solução: Criação da métrica final de Cobertura_Estoque_Dias, gerada pela divisão do Estoque_Atual pela Venda_Media_Diaria.
6. Cálculo de Projeção Logística de Aterrissagem:
Problema: O gestor receberia a Data de Leitura e o Lead Time de Entrega (em dias) separados, forçando cálculos manuais diários arriscados, linha a linha.
Análise: O painel exige saber a contagem consolidada de quantos produtos cruzarão uma Deadline específica de planejamento logístico futuro.
Solução: Adoção de transposição vetorial entre a Data de Registro e os dias do Fornecedor, concebida de forma robusta e dinâmica na célula Excel como =IF(ISBLANK...). Resultando na coluna definitiva Data_Prevista_Chegada.</t>
  </si>
  <si>
    <t>2. Crie uma Tabela Dinâmica que resuma o Valor Total em Estoque e  a  Venda Média por Categoria.</t>
  </si>
  <si>
    <t>Para fornecer à diretoria a visão macrofinanceira ("onde está o dinheiro") versus o ritmo de faturamento ("de onde vem a vazão"), o agrupamento por vertical de negócios foi modelado da seguinte forma:
Problema: A alta gestão não toma decisão olhando SKUs (itens) individuais em uma grade imensa de 100 linhas no Excel. Eles precisam ver o filme macroscópico do fluxo de caixa distribuído pelos quatro pilares da empresa (Calçados, Roupas, Acessórios e Equipamentos).
Análise: O desafio analítico aqui era consolidar matrizes de naturezas matemáticas diferentes: enquanto o Capital total travado exige uma soma absoluta (SUM), a métrica de Venda exige uma divisão estatística para se achar a diluição perfeita por item do departamento (MEAN/AVERAGE).
Solução: Via engenharia de dados (Pandas .groupby), foi arquitetada uma Tabela Dinâmica dupla (Pivot Table).
O motor empacotou a base pela dimensão Categoria.
No primeiro vetor, executou a soma (SOMA/SUM) do Valor_Total_Estoque, descobrindo que Calçados e Equipamentos retêm massivamente o capital da empresa.
No segundo vetor, engatou o cálculo de média (MÉDIA/AVERAGE) sobre as Vendas Médias Diárias, revelando a velocidade de queima de cada vertical.
Para impacto visual e imediato no Dashboard, além de criar essa tabela dinâmica no background (df_cat), ela foi prototipada em um Gráfico de Combinação (Combo Chart de Barras vs Linha) garantindo uma leitura simultânea do Dinheiro Trabalhado vs Dinheiro Parado na mesma tela.</t>
  </si>
  <si>
    <t>3. Gere um gráfico de barras que mostre apenas os 10 produtos com menor Cobertura de Estoque (Estoque / Venda Diária)."</t>
  </si>
  <si>
    <t>Para entregar uma visualização cirúrgica e orientada à ação contra estoques zerados ou próximos da quebra, o Risco de Ruptura foi modelado da seguinte forma:
Problema: Analisar o volume absoluto de peças do inventário cria uma falsa sensação de segurança. Por exemplo: Ter 50 unidades do "Produto A" parece bom, até descobrirmos que ele vende 25 unidades/dia (estoque acaba em 2 dias). Da mesma forma, encontrar os piores itens cruamente em uma planilha densa causa paralisia operacional no gestor da logística.
Análise: Era compulsório criar um indicador de sobrevida de armazém escalável cruzando o estoque pela Venda Média (fórmula de cobertura), seguido da necessidade imperativa de fatiar drasticamente o catálogo ("Top 10 piores") para que o time comprasse os estoques emergenciais corretos imediatamente, focando no que dói mais. Adicionalmente, deparou-se com o cenário de múltiplos itens com cobertura "Zero" empatados.
Solução:
Via script na preparação da base, cravou-se a métrica Cobertura_Estoque_Dias (Estoque_Atual / Venda_Media).
No front-end do painel (Plotly/Streamlit), a matriz foi submetida a dois vetores simultâneos de ordenação (sort_values): Primeiro chamou os itens com a menor Cobertura (colocando os estoques zero no topo). Como critério de desempate (tie-breaker), ordenou as piores coberturas pela maior Vazão de Vendas (Giro de Caixa).
Por fim, cortou-se estritamente à décima linha (limitando a barra horizontal/vertical apenas aos Top 10) e renderizou-se um sólido Gráfico de Barras (px.bar). O resultado entrega de bandeja para o Diretor os exatos 10 produtos que vão derreter o SLA da loja amanhã se nenhum ressuprimento for solicitado de imediato.</t>
  </si>
  <si>
    <t>4. Identifique quais produtos representam os 20% mais caros do valor total do estoque. Destaque esses itens na planilha com uma cor diferente.</t>
  </si>
  <si>
    <t>Para responder à exigência de governança de faturamento, a descoberta dos "vilões de capital" (os 20% mais caros do fluxo de caixa) foi automatizada estritamente através da Lei de Pareto:
Problema: A diretoria de compras reportou ineficiências de orçamento preso no galpão, mas a auditoria visual linha a linha em 100 produtos para achar o centro de custo ofensor é inviável, perigosa e sujeita a vieses.
Análise: Era imperativo aplicar um modelo de Data Science descritivo (Soma Cumulativa ranqueada) no próprio backend para extirpar a emoção da análise. Adicionalmente, entregar um "número seco" não resolve; o processo deveria gravar o destaque (color labeling) nativamente e dinamicamente na planilha de suporte para que analistas que não abrem o dashboard vejam os alertas direto no Microsoft Excel.
Solução:
No script preparatório de Python (
prep_perguntas.ipynb
 e rotinas secundárias via terminal), a tabela inteira sofreu validação (sort_values()) de forma decrescente pela magnitude do recém-criado Valor_Total_Estoque.
Acionou-se a varredura direcional de Soma Cumulativa (cumsum()) iterando produto a produto até que o pote financeiro atingisse o limiar exato do risco orçamentário (sum() * 0.20). O algorítmo extraiu impiedosamente que os 5 modelos de Tênis da Nike lideram absurdos R$ 143.200 retidos em capital imobilizado.
Como cereja corporativa da entrega, invocou-se a biblioteca openpyxl e o atributo de formatação avançada de Pandas para descer ao nível das células no arquivo raiz (
dados-tratados.xlsx
), fixando o padrão visual Amarelo Ouro (#FFEB3B) nas 5 linhas ofensoras de forma dura (hardcoded), entregando à área de Supply um Excel inteligente e auto-auditável.</t>
  </si>
  <si>
    <t>5. Crie uma coluna que calcule a Data Prevista de Chegada do próximo lote, somando a Data_Registro com o Lead_Time_Fornecedor. Quantos produtos têm previsão de chegada para depois de 15/02/2026?</t>
  </si>
  <si>
    <t>A visibilidade do trânsito de ressuprimento foi o último pilar estruturado, cruzando o tempo com a janela crítica de 15/02/2026:
Problema: Operar com prazos de fornecedor soltos (Lead_Time) impede o planejamento comercial de campanhas futuras. O gestor precisava da data exata de ancoragem na doca. A métrica de "Atraso" já mostrava que 18 itens estavam fora do prazo, mas o risco verdadeiro mora no Deadline trimestral cortado em 15/02/2026, que estava completamente às cegas.
Análise: Era compulsório criar um campo de data somativo real (Data_Prevista_Chegada). O desafio da Engenharia foi evitar usar cálculos congelados ("números mortos" gerados pelo Python), preferindo injetar inteligência de planilha para que o usuário pudesse futuramente simular cenários apenas alterando o Lead Time no Excel. Adicionalmente, enfrentamos o problema sistêmico do Excel: planilhas forçam datas vazias a virarem "1900-01-00", destruindo visuais gráficos.
Solução:
No backend (via script Python openpyxl), a coluna foi formalmente forjada carimbando diretamente a inteligência condicional oficial de Microsoft Office linha a linha: =IF(ISBLANK(Data_Registro), "", Data_Registro + Lead_Time_Fornecedor).
Essa manobra de dados sofisticada garantiu que se não há pedido registrado, não há data fabricada, resultando num espaço puramente vazio, ao invés de cálculos corrompidos da virada do século. Ambas as colunas foram padronizadas visualmente (DD/MM/YYYY) removendo os marcadores residuais de horas do banco.
Com a base sanada e rodando no Front-end, a extração deflagrou um alerta vermelho: Exatos 26 produtos (dos rastreáveis) aterrissarão nas lojas após o prazo-limite absoluto de 15/02/2026 (um gargalo de 72% de todo o fluxo logístico ativo avaliado no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</si>
</sst>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rgb="FF000000"/>
      <name val="Calibri"/>
      <scheme val="minor"/>
    </font>
    <font>
      <b/>
      <sz val="10"/>
      <color theme="1"/>
      <name val="Calibri"/>
      <scheme val="minor"/>
    </font>
    <font>
      <sz val="11"/>
      <color theme="1"/>
      <name val="Arial"/>
    </font>
    <font>
      <b/>
      <sz val="14"/>
      <color theme="1"/>
      <name val="Calibri"/>
      <scheme val="minor"/>
    </font>
    <font>
      <sz val="10"/>
      <color theme="1"/>
      <name val="Calibri"/>
      <family val="2"/>
      <scheme val="minor"/>
    </font>
    <font>
      <sz val="11"/>
      <color theme="1"/>
      <name val="Arial"/>
      <family val="2"/>
    </font>
    <font>
      <b/>
      <sz val="11"/>
      <color rgb="FFFFFFFF"/>
      <name val="Calibri"/>
    </font>
  </fonts>
  <fills count="4">
    <fill>
      <patternFill patternType="none"/>
    </fill>
    <fill>
      <patternFill patternType="gray125"/>
    </fill>
    <fill>
      <patternFill patternType="solid">
        <fgColor rgb="FFFFEB3B"/>
        <bgColor rgb="FFFFEB3B"/>
      </patternFill>
    </fill>
    <fill>
      <patternFill patternType="solid">
        <fgColor rgb="FF3B82F6"/>
        <bgColor rgb="FF3B82F6"/>
      </patternFill>
    </fill>
  </fills>
  <borders count="1">
    <border>
      <left/>
      <right/>
      <top/>
      <bottom/>
      <diagonal/>
    </border>
  </borders>
  <cellStyleXfs count="2">
    <xf numFmtId="0" fontId="0" fillId="0" borderId="0"/>
    <xf numFmtId="0" fontId="1" fillId="0" borderId="0"/>
  </cellStyleXfs>
  <cellXfs count="12">
    <xf numFmtId="0" fontId="0" fillId="0" borderId="0" xfId="0"/>
    <xf numFmtId="0" fontId="0" fillId="2" borderId="0" xfId="0" applyFill="1"/>
    <xf numFmtId="14" fontId="0" fillId="0" borderId="0" xfId="0" applyNumberFormat="1"/>
    <xf numFmtId="14" fontId="0" fillId="2" borderId="0" xfId="0" applyNumberFormat="1" applyFill="1"/>
    <xf numFmtId="0" fontId="1" fillId="0" borderId="0" xfId="1"/>
    <xf numFmtId="0" fontId="2" fillId="0" borderId="0" xfId="1" applyFont="1"/>
    <xf numFmtId="0" fontId="4" fillId="0" borderId="0" xfId="1" applyFont="1"/>
    <xf numFmtId="0" fontId="3" fillId="0" borderId="0" xfId="1" applyFont="1" applyAlignment="1">
      <alignment horizontal="center" vertical="center" wrapText="1"/>
    </xf>
    <xf numFmtId="0" fontId="5" fillId="0" borderId="0" xfId="1" applyFont="1" applyAlignment="1">
      <alignment horizontal="left" vertical="top" wrapText="1"/>
    </xf>
    <xf numFmtId="0" fontId="6" fillId="0" borderId="0" xfId="1" applyFont="1"/>
    <xf numFmtId="0" fontId="5" fillId="0" borderId="0" xfId="1" applyFont="1" applyAlignment="1">
      <alignment wrapText="1"/>
    </xf>
    <xf numFmtId="0" fontId="7" fillId="3" borderId="0" xfId="0" applyFont="1" applyFill="1" applyAlignment="1">
      <alignment horizontal="center" vertic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1"/>
  <sheetViews>
    <sheetView workbookViewId="0">
      <selection activeCell="R16" sqref="R16"/>
    </sheetView>
  </sheetViews>
  <sheetFormatPr defaultRowHeight="15" x14ac:dyDescent="0.25"/>
  <cols>
    <col min="2" max="2" width="23.7109375" bestFit="1" customWidth="1"/>
    <col min="4" max="4" width="13.42578125" bestFit="1" customWidth="1"/>
    <col min="11" max="11" width="19.5703125" bestFit="1" customWidth="1"/>
    <col min="12" max="12" width="23.140625" bestFit="1" customWidth="1"/>
    <col min="15" max="15" width="22.140625" bestFit="1" customWidth="1"/>
  </cols>
  <sheetData>
    <row r="1" spans="1:15" x14ac:dyDescent="0.25">
      <c r="A1" t="s">
        <v>23</v>
      </c>
      <c r="B1" t="s">
        <v>24</v>
      </c>
      <c r="C1" t="s">
        <v>25</v>
      </c>
      <c r="D1" t="s">
        <v>26</v>
      </c>
      <c r="E1" t="s">
        <v>27</v>
      </c>
      <c r="F1" t="s">
        <v>28</v>
      </c>
      <c r="G1" t="s">
        <v>29</v>
      </c>
      <c r="H1" t="s">
        <v>30</v>
      </c>
      <c r="I1" t="s">
        <v>31</v>
      </c>
      <c r="J1" t="s">
        <v>32</v>
      </c>
      <c r="K1" t="s">
        <v>33</v>
      </c>
      <c r="L1" t="s">
        <v>34</v>
      </c>
      <c r="M1" t="s">
        <v>35</v>
      </c>
      <c r="N1" t="s">
        <v>36</v>
      </c>
      <c r="O1" t="s">
        <v>37</v>
      </c>
    </row>
    <row r="2" spans="1:15" x14ac:dyDescent="0.25">
      <c r="A2" t="s">
        <v>38</v>
      </c>
      <c r="B2" t="s">
        <v>39</v>
      </c>
      <c r="C2" t="s">
        <v>40</v>
      </c>
      <c r="D2" s="2">
        <v>46037</v>
      </c>
      <c r="E2">
        <v>45</v>
      </c>
      <c r="F2">
        <v>20</v>
      </c>
      <c r="G2">
        <v>299.89999999999998</v>
      </c>
      <c r="H2">
        <v>5</v>
      </c>
      <c r="I2">
        <v>7</v>
      </c>
      <c r="J2" t="s">
        <v>41</v>
      </c>
      <c r="K2">
        <v>13495.5</v>
      </c>
      <c r="L2">
        <v>9</v>
      </c>
      <c r="M2" t="s">
        <v>42</v>
      </c>
      <c r="N2" t="s">
        <v>42</v>
      </c>
      <c r="O2" s="2">
        <f>D2+I2</f>
        <v>46044</v>
      </c>
    </row>
    <row r="3" spans="1:15" x14ac:dyDescent="0.25">
      <c r="A3" t="s">
        <v>43</v>
      </c>
      <c r="B3" t="s">
        <v>44</v>
      </c>
      <c r="C3" t="s">
        <v>45</v>
      </c>
      <c r="E3">
        <v>120</v>
      </c>
      <c r="F3">
        <v>50</v>
      </c>
      <c r="G3">
        <v>59.9</v>
      </c>
      <c r="H3">
        <v>12</v>
      </c>
      <c r="I3">
        <v>3</v>
      </c>
      <c r="J3" t="s">
        <v>41</v>
      </c>
      <c r="K3">
        <v>7188</v>
      </c>
      <c r="L3">
        <v>10</v>
      </c>
      <c r="M3" t="s">
        <v>42</v>
      </c>
      <c r="N3" t="s">
        <v>42</v>
      </c>
      <c r="O3" s="2"/>
    </row>
    <row r="4" spans="1:15" x14ac:dyDescent="0.25">
      <c r="A4" t="s">
        <v>46</v>
      </c>
      <c r="B4" t="s">
        <v>47</v>
      </c>
      <c r="C4" t="s">
        <v>48</v>
      </c>
      <c r="E4">
        <v>10</v>
      </c>
      <c r="F4">
        <v>15</v>
      </c>
      <c r="G4">
        <v>89</v>
      </c>
      <c r="H4">
        <v>4</v>
      </c>
      <c r="I4">
        <v>5</v>
      </c>
      <c r="J4" t="s">
        <v>49</v>
      </c>
      <c r="K4">
        <v>890</v>
      </c>
      <c r="L4">
        <v>2.5</v>
      </c>
      <c r="M4" t="s">
        <v>42</v>
      </c>
      <c r="N4" t="s">
        <v>42</v>
      </c>
      <c r="O4" s="2"/>
    </row>
    <row r="5" spans="1:15" x14ac:dyDescent="0.25">
      <c r="A5" t="s">
        <v>50</v>
      </c>
      <c r="B5" t="s">
        <v>19</v>
      </c>
      <c r="C5" t="s">
        <v>45</v>
      </c>
      <c r="D5" s="2">
        <v>46040</v>
      </c>
      <c r="E5">
        <v>0</v>
      </c>
      <c r="F5">
        <v>30</v>
      </c>
      <c r="G5">
        <v>45</v>
      </c>
      <c r="H5">
        <v>8</v>
      </c>
      <c r="I5">
        <v>4</v>
      </c>
      <c r="J5" t="s">
        <v>41</v>
      </c>
      <c r="K5">
        <v>0</v>
      </c>
      <c r="L5">
        <v>0</v>
      </c>
      <c r="M5" t="s">
        <v>42</v>
      </c>
      <c r="N5" t="s">
        <v>42</v>
      </c>
      <c r="O5" s="2">
        <f>D5+I5</f>
        <v>46044</v>
      </c>
    </row>
    <row r="6" spans="1:15" x14ac:dyDescent="0.25">
      <c r="A6" t="s">
        <v>51</v>
      </c>
      <c r="B6" t="s">
        <v>20</v>
      </c>
      <c r="C6" t="s">
        <v>40</v>
      </c>
      <c r="E6">
        <v>0</v>
      </c>
      <c r="F6">
        <v>25</v>
      </c>
      <c r="G6">
        <v>150</v>
      </c>
      <c r="H6">
        <v>10</v>
      </c>
      <c r="I6">
        <v>10</v>
      </c>
      <c r="J6" t="s">
        <v>49</v>
      </c>
      <c r="K6">
        <v>0</v>
      </c>
      <c r="L6">
        <v>0</v>
      </c>
      <c r="M6" t="s">
        <v>42</v>
      </c>
      <c r="N6" t="s">
        <v>42</v>
      </c>
      <c r="O6" s="2"/>
    </row>
    <row r="7" spans="1:15" x14ac:dyDescent="0.25">
      <c r="A7" t="s">
        <v>52</v>
      </c>
      <c r="B7" t="s">
        <v>53</v>
      </c>
      <c r="C7" t="s">
        <v>48</v>
      </c>
      <c r="D7" s="2">
        <v>46042</v>
      </c>
      <c r="E7">
        <v>300</v>
      </c>
      <c r="F7">
        <v>100</v>
      </c>
      <c r="G7">
        <v>75</v>
      </c>
      <c r="H7">
        <v>25</v>
      </c>
      <c r="I7">
        <v>2</v>
      </c>
      <c r="J7" t="s">
        <v>41</v>
      </c>
      <c r="K7">
        <v>22500</v>
      </c>
      <c r="L7">
        <v>12</v>
      </c>
      <c r="M7" t="s">
        <v>42</v>
      </c>
      <c r="N7" t="s">
        <v>42</v>
      </c>
      <c r="O7" s="2">
        <f>D7+I7</f>
        <v>46044</v>
      </c>
    </row>
    <row r="8" spans="1:15" x14ac:dyDescent="0.25">
      <c r="A8" t="s">
        <v>54</v>
      </c>
      <c r="B8" t="s">
        <v>55</v>
      </c>
      <c r="C8" t="s">
        <v>40</v>
      </c>
      <c r="E8">
        <v>8</v>
      </c>
      <c r="F8">
        <v>20</v>
      </c>
      <c r="G8">
        <v>199</v>
      </c>
      <c r="H8">
        <v>3</v>
      </c>
      <c r="I8">
        <v>15</v>
      </c>
      <c r="J8" t="s">
        <v>56</v>
      </c>
      <c r="K8">
        <v>1592</v>
      </c>
      <c r="L8">
        <v>2.7</v>
      </c>
      <c r="M8" t="s">
        <v>42</v>
      </c>
      <c r="N8" t="s">
        <v>42</v>
      </c>
      <c r="O8" s="2"/>
    </row>
    <row r="9" spans="1:15" x14ac:dyDescent="0.25">
      <c r="A9" t="s">
        <v>57</v>
      </c>
      <c r="B9" t="s">
        <v>58</v>
      </c>
      <c r="C9" t="s">
        <v>48</v>
      </c>
      <c r="E9">
        <v>50</v>
      </c>
      <c r="F9">
        <v>20</v>
      </c>
      <c r="G9">
        <v>35</v>
      </c>
      <c r="H9">
        <v>2</v>
      </c>
      <c r="I9">
        <v>10</v>
      </c>
      <c r="J9" t="s">
        <v>41</v>
      </c>
      <c r="K9">
        <v>1750</v>
      </c>
      <c r="L9">
        <v>25</v>
      </c>
      <c r="M9" t="s">
        <v>42</v>
      </c>
      <c r="N9" t="s">
        <v>42</v>
      </c>
      <c r="O9" s="2"/>
    </row>
    <row r="10" spans="1:15" x14ac:dyDescent="0.25">
      <c r="A10" t="s">
        <v>59</v>
      </c>
      <c r="B10" t="s">
        <v>60</v>
      </c>
      <c r="C10" t="s">
        <v>45</v>
      </c>
      <c r="D10" s="2">
        <v>46045</v>
      </c>
      <c r="E10">
        <v>15</v>
      </c>
      <c r="F10">
        <v>20</v>
      </c>
      <c r="G10">
        <v>120</v>
      </c>
      <c r="H10">
        <v>5</v>
      </c>
      <c r="I10">
        <v>14</v>
      </c>
      <c r="J10" t="s">
        <v>49</v>
      </c>
      <c r="K10">
        <v>1800</v>
      </c>
      <c r="L10">
        <v>3</v>
      </c>
      <c r="M10" t="s">
        <v>42</v>
      </c>
      <c r="N10" t="s">
        <v>42</v>
      </c>
      <c r="O10" s="2">
        <f>D10+I10</f>
        <v>46059</v>
      </c>
    </row>
    <row r="11" spans="1:15" x14ac:dyDescent="0.25">
      <c r="A11" t="s">
        <v>61</v>
      </c>
      <c r="B11" t="s">
        <v>62</v>
      </c>
      <c r="C11" t="s">
        <v>45</v>
      </c>
      <c r="E11">
        <v>80</v>
      </c>
      <c r="F11">
        <v>40</v>
      </c>
      <c r="G11">
        <v>49.9</v>
      </c>
      <c r="H11">
        <v>7</v>
      </c>
      <c r="I11">
        <v>5</v>
      </c>
      <c r="J11" t="s">
        <v>41</v>
      </c>
      <c r="K11">
        <v>3992</v>
      </c>
      <c r="L11">
        <v>11.4</v>
      </c>
      <c r="M11" t="s">
        <v>42</v>
      </c>
      <c r="N11" t="s">
        <v>42</v>
      </c>
      <c r="O11" s="2"/>
    </row>
    <row r="12" spans="1:15" x14ac:dyDescent="0.25">
      <c r="A12" t="s">
        <v>63</v>
      </c>
      <c r="B12" t="s">
        <v>64</v>
      </c>
      <c r="C12" t="s">
        <v>40</v>
      </c>
      <c r="D12" s="2">
        <v>46047</v>
      </c>
      <c r="E12">
        <v>12</v>
      </c>
      <c r="F12">
        <v>30</v>
      </c>
      <c r="G12">
        <v>450</v>
      </c>
      <c r="H12">
        <v>6</v>
      </c>
      <c r="I12">
        <v>7</v>
      </c>
      <c r="J12" t="s">
        <v>49</v>
      </c>
      <c r="K12">
        <v>5400</v>
      </c>
      <c r="L12">
        <v>2</v>
      </c>
      <c r="M12" t="s">
        <v>42</v>
      </c>
      <c r="N12" t="s">
        <v>42</v>
      </c>
      <c r="O12" s="2">
        <f>D12+I12</f>
        <v>46054</v>
      </c>
    </row>
    <row r="13" spans="1:15" x14ac:dyDescent="0.25">
      <c r="A13" t="s">
        <v>65</v>
      </c>
      <c r="B13" t="s">
        <v>66</v>
      </c>
      <c r="C13" t="s">
        <v>48</v>
      </c>
      <c r="E13">
        <v>5</v>
      </c>
      <c r="F13">
        <v>10</v>
      </c>
      <c r="G13">
        <v>120</v>
      </c>
      <c r="H13">
        <v>2</v>
      </c>
      <c r="I13">
        <v>20</v>
      </c>
      <c r="J13" t="s">
        <v>56</v>
      </c>
      <c r="K13">
        <v>600</v>
      </c>
      <c r="L13">
        <v>2.5</v>
      </c>
      <c r="M13" t="s">
        <v>42</v>
      </c>
      <c r="N13" t="s">
        <v>42</v>
      </c>
      <c r="O13" s="2"/>
    </row>
    <row r="14" spans="1:15" x14ac:dyDescent="0.25">
      <c r="A14" t="s">
        <v>67</v>
      </c>
      <c r="B14" t="s">
        <v>68</v>
      </c>
      <c r="C14" t="s">
        <v>45</v>
      </c>
      <c r="D14" s="2">
        <v>46049</v>
      </c>
      <c r="E14">
        <v>200</v>
      </c>
      <c r="F14">
        <v>50</v>
      </c>
      <c r="G14">
        <v>89</v>
      </c>
      <c r="H14">
        <v>15</v>
      </c>
      <c r="I14">
        <v>5</v>
      </c>
      <c r="J14" t="s">
        <v>41</v>
      </c>
      <c r="K14">
        <v>17800</v>
      </c>
      <c r="L14">
        <v>13.3</v>
      </c>
      <c r="M14" t="s">
        <v>42</v>
      </c>
      <c r="N14" t="s">
        <v>42</v>
      </c>
      <c r="O14" s="2">
        <f>D14+I14</f>
        <v>46054</v>
      </c>
    </row>
    <row r="15" spans="1:15" x14ac:dyDescent="0.25">
      <c r="A15" t="s">
        <v>69</v>
      </c>
      <c r="B15" t="s">
        <v>6</v>
      </c>
      <c r="C15" t="s">
        <v>48</v>
      </c>
      <c r="E15">
        <v>0</v>
      </c>
      <c r="F15">
        <v>15</v>
      </c>
      <c r="G15">
        <v>25</v>
      </c>
      <c r="H15">
        <v>4</v>
      </c>
      <c r="I15">
        <v>10</v>
      </c>
      <c r="J15" t="s">
        <v>49</v>
      </c>
      <c r="K15">
        <v>0</v>
      </c>
      <c r="L15">
        <v>0</v>
      </c>
      <c r="M15" t="s">
        <v>42</v>
      </c>
      <c r="N15" t="s">
        <v>42</v>
      </c>
      <c r="O15" s="2"/>
    </row>
    <row r="16" spans="1:15" x14ac:dyDescent="0.25">
      <c r="A16" s="1" t="s">
        <v>70</v>
      </c>
      <c r="B16" s="1" t="s">
        <v>10</v>
      </c>
      <c r="C16" s="1" t="s">
        <v>40</v>
      </c>
      <c r="D16" s="1"/>
      <c r="E16" s="1">
        <v>100</v>
      </c>
      <c r="F16" s="1">
        <v>40</v>
      </c>
      <c r="G16" s="1">
        <v>280</v>
      </c>
      <c r="H16" s="1">
        <v>12</v>
      </c>
      <c r="I16" s="1">
        <v>7</v>
      </c>
      <c r="J16" s="1" t="s">
        <v>41</v>
      </c>
      <c r="K16" s="1">
        <v>28000</v>
      </c>
      <c r="L16" s="1">
        <v>8.3000000000000007</v>
      </c>
      <c r="M16" s="1" t="s">
        <v>71</v>
      </c>
      <c r="N16" s="1" t="s">
        <v>71</v>
      </c>
      <c r="O16" s="3"/>
    </row>
    <row r="17" spans="1:15" x14ac:dyDescent="0.25">
      <c r="A17" t="s">
        <v>72</v>
      </c>
      <c r="B17" t="s">
        <v>73</v>
      </c>
      <c r="C17" t="s">
        <v>48</v>
      </c>
      <c r="E17">
        <v>15</v>
      </c>
      <c r="F17">
        <v>10</v>
      </c>
      <c r="G17">
        <v>19.899999999999999</v>
      </c>
      <c r="H17">
        <v>3</v>
      </c>
      <c r="I17">
        <v>5</v>
      </c>
      <c r="J17" t="s">
        <v>41</v>
      </c>
      <c r="K17">
        <v>298.5</v>
      </c>
      <c r="L17">
        <v>5</v>
      </c>
      <c r="M17" t="s">
        <v>42</v>
      </c>
      <c r="N17" t="s">
        <v>42</v>
      </c>
      <c r="O17" s="2"/>
    </row>
    <row r="18" spans="1:15" x14ac:dyDescent="0.25">
      <c r="A18" t="s">
        <v>74</v>
      </c>
      <c r="B18" t="s">
        <v>75</v>
      </c>
      <c r="C18" t="s">
        <v>45</v>
      </c>
      <c r="D18" s="2">
        <v>46053</v>
      </c>
      <c r="E18">
        <v>55</v>
      </c>
      <c r="F18">
        <v>20</v>
      </c>
      <c r="G18">
        <v>110</v>
      </c>
      <c r="H18">
        <v>6</v>
      </c>
      <c r="I18">
        <v>4</v>
      </c>
      <c r="J18" t="s">
        <v>41</v>
      </c>
      <c r="K18">
        <v>6050</v>
      </c>
      <c r="L18">
        <v>9.1999999999999993</v>
      </c>
      <c r="M18" t="s">
        <v>42</v>
      </c>
      <c r="N18" t="s">
        <v>42</v>
      </c>
      <c r="O18" s="2">
        <f>D18+I18</f>
        <v>46057</v>
      </c>
    </row>
    <row r="19" spans="1:15" x14ac:dyDescent="0.25">
      <c r="A19" t="s">
        <v>76</v>
      </c>
      <c r="B19" t="s">
        <v>21</v>
      </c>
      <c r="C19" t="s">
        <v>48</v>
      </c>
      <c r="E19">
        <v>0</v>
      </c>
      <c r="F19">
        <v>30</v>
      </c>
      <c r="G19">
        <v>15</v>
      </c>
      <c r="H19">
        <v>10</v>
      </c>
      <c r="I19">
        <v>3</v>
      </c>
      <c r="J19" t="s">
        <v>41</v>
      </c>
      <c r="K19">
        <v>0</v>
      </c>
      <c r="L19">
        <v>0</v>
      </c>
      <c r="M19" t="s">
        <v>42</v>
      </c>
      <c r="N19" t="s">
        <v>42</v>
      </c>
      <c r="O19" s="2"/>
    </row>
    <row r="20" spans="1:15" x14ac:dyDescent="0.25">
      <c r="A20" t="s">
        <v>77</v>
      </c>
      <c r="B20" t="s">
        <v>78</v>
      </c>
      <c r="C20" t="s">
        <v>40</v>
      </c>
      <c r="E20">
        <v>4</v>
      </c>
      <c r="F20">
        <v>20</v>
      </c>
      <c r="G20">
        <v>599</v>
      </c>
      <c r="H20">
        <v>2</v>
      </c>
      <c r="I20">
        <v>14</v>
      </c>
      <c r="J20" t="s">
        <v>56</v>
      </c>
      <c r="K20">
        <v>2396</v>
      </c>
      <c r="L20">
        <v>2</v>
      </c>
      <c r="M20" t="s">
        <v>42</v>
      </c>
      <c r="N20" t="s">
        <v>42</v>
      </c>
      <c r="O20" s="2"/>
    </row>
    <row r="21" spans="1:15" x14ac:dyDescent="0.25">
      <c r="A21" t="s">
        <v>79</v>
      </c>
      <c r="B21" t="s">
        <v>80</v>
      </c>
      <c r="C21" t="s">
        <v>45</v>
      </c>
      <c r="D21" s="2">
        <v>46056</v>
      </c>
      <c r="E21">
        <v>40</v>
      </c>
      <c r="F21">
        <v>25</v>
      </c>
      <c r="G21">
        <v>199</v>
      </c>
      <c r="H21">
        <v>5</v>
      </c>
      <c r="I21">
        <v>6</v>
      </c>
      <c r="J21" t="s">
        <v>41</v>
      </c>
      <c r="K21">
        <v>7960</v>
      </c>
      <c r="L21">
        <v>8</v>
      </c>
      <c r="M21" t="s">
        <v>42</v>
      </c>
      <c r="N21" t="s">
        <v>42</v>
      </c>
      <c r="O21" s="2">
        <f>D21+I21</f>
        <v>46062</v>
      </c>
    </row>
    <row r="22" spans="1:15" x14ac:dyDescent="0.25">
      <c r="A22" t="s">
        <v>81</v>
      </c>
      <c r="B22" t="s">
        <v>82</v>
      </c>
      <c r="C22" t="s">
        <v>40</v>
      </c>
      <c r="D22" s="2">
        <v>46057</v>
      </c>
      <c r="E22">
        <v>60</v>
      </c>
      <c r="F22">
        <v>30</v>
      </c>
      <c r="G22">
        <v>250</v>
      </c>
      <c r="H22">
        <v>8</v>
      </c>
      <c r="I22">
        <v>7</v>
      </c>
      <c r="J22" t="s">
        <v>41</v>
      </c>
      <c r="K22">
        <v>15000</v>
      </c>
      <c r="L22">
        <v>7.5</v>
      </c>
      <c r="M22" t="s">
        <v>42</v>
      </c>
      <c r="N22" t="s">
        <v>42</v>
      </c>
      <c r="O22" s="2">
        <f>D22+I22</f>
        <v>46064</v>
      </c>
    </row>
    <row r="23" spans="1:15" x14ac:dyDescent="0.25">
      <c r="A23" t="s">
        <v>83</v>
      </c>
      <c r="B23" t="s">
        <v>9</v>
      </c>
      <c r="C23" t="s">
        <v>45</v>
      </c>
      <c r="E23">
        <v>0</v>
      </c>
      <c r="F23">
        <v>15</v>
      </c>
      <c r="G23">
        <v>75</v>
      </c>
      <c r="H23">
        <v>4</v>
      </c>
      <c r="I23">
        <v>5</v>
      </c>
      <c r="J23" t="s">
        <v>49</v>
      </c>
      <c r="K23">
        <v>0</v>
      </c>
      <c r="L23">
        <v>0</v>
      </c>
      <c r="M23" t="s">
        <v>42</v>
      </c>
      <c r="N23" t="s">
        <v>42</v>
      </c>
      <c r="O23" s="2"/>
    </row>
    <row r="24" spans="1:15" x14ac:dyDescent="0.25">
      <c r="A24" t="s">
        <v>84</v>
      </c>
      <c r="B24" t="s">
        <v>85</v>
      </c>
      <c r="C24" t="s">
        <v>48</v>
      </c>
      <c r="E24">
        <v>90</v>
      </c>
      <c r="F24">
        <v>40</v>
      </c>
      <c r="G24">
        <v>89</v>
      </c>
      <c r="H24">
        <v>6</v>
      </c>
      <c r="I24">
        <v>10</v>
      </c>
      <c r="J24" t="s">
        <v>41</v>
      </c>
      <c r="K24">
        <v>8010</v>
      </c>
      <c r="L24">
        <v>15</v>
      </c>
      <c r="M24" t="s">
        <v>42</v>
      </c>
      <c r="N24" t="s">
        <v>42</v>
      </c>
      <c r="O24" s="2"/>
    </row>
    <row r="25" spans="1:15" x14ac:dyDescent="0.25">
      <c r="A25" t="s">
        <v>86</v>
      </c>
      <c r="B25" t="s">
        <v>87</v>
      </c>
      <c r="C25" t="s">
        <v>45</v>
      </c>
      <c r="D25" s="2">
        <v>46060</v>
      </c>
      <c r="E25">
        <v>10</v>
      </c>
      <c r="F25">
        <v>15</v>
      </c>
      <c r="G25">
        <v>350</v>
      </c>
      <c r="H25">
        <v>2</v>
      </c>
      <c r="I25">
        <v>15</v>
      </c>
      <c r="J25" t="s">
        <v>56</v>
      </c>
      <c r="K25">
        <v>3500</v>
      </c>
      <c r="L25">
        <v>5</v>
      </c>
      <c r="M25" t="s">
        <v>42</v>
      </c>
      <c r="N25" t="s">
        <v>42</v>
      </c>
      <c r="O25" s="2">
        <f>D25+I25</f>
        <v>46075</v>
      </c>
    </row>
    <row r="26" spans="1:15" x14ac:dyDescent="0.25">
      <c r="A26" t="s">
        <v>88</v>
      </c>
      <c r="B26" t="s">
        <v>89</v>
      </c>
      <c r="C26" t="s">
        <v>40</v>
      </c>
      <c r="E26">
        <v>25</v>
      </c>
      <c r="F26">
        <v>20</v>
      </c>
      <c r="G26">
        <v>600</v>
      </c>
      <c r="H26">
        <v>4</v>
      </c>
      <c r="I26">
        <v>12</v>
      </c>
      <c r="J26" t="s">
        <v>41</v>
      </c>
      <c r="K26">
        <v>15000</v>
      </c>
      <c r="L26">
        <v>6.2</v>
      </c>
      <c r="M26" t="s">
        <v>42</v>
      </c>
      <c r="N26" t="s">
        <v>42</v>
      </c>
      <c r="O26" s="2"/>
    </row>
    <row r="27" spans="1:15" x14ac:dyDescent="0.25">
      <c r="A27" t="s">
        <v>90</v>
      </c>
      <c r="B27" t="s">
        <v>91</v>
      </c>
      <c r="C27" t="s">
        <v>48</v>
      </c>
      <c r="D27" s="2">
        <v>46062</v>
      </c>
      <c r="E27">
        <v>150</v>
      </c>
      <c r="F27">
        <v>50</v>
      </c>
      <c r="G27">
        <v>45</v>
      </c>
      <c r="H27">
        <v>10</v>
      </c>
      <c r="I27">
        <v>5</v>
      </c>
      <c r="J27" t="s">
        <v>41</v>
      </c>
      <c r="K27">
        <v>6750</v>
      </c>
      <c r="L27">
        <v>15</v>
      </c>
      <c r="M27" t="s">
        <v>42</v>
      </c>
      <c r="N27" t="s">
        <v>42</v>
      </c>
      <c r="O27" s="2">
        <f>D27+I27</f>
        <v>46067</v>
      </c>
    </row>
    <row r="28" spans="1:15" x14ac:dyDescent="0.25">
      <c r="A28" t="s">
        <v>92</v>
      </c>
      <c r="B28" t="s">
        <v>93</v>
      </c>
      <c r="C28" t="s">
        <v>45</v>
      </c>
      <c r="E28">
        <v>30</v>
      </c>
      <c r="F28">
        <v>20</v>
      </c>
      <c r="G28">
        <v>130</v>
      </c>
      <c r="H28">
        <v>5</v>
      </c>
      <c r="I28">
        <v>7</v>
      </c>
      <c r="J28" t="s">
        <v>41</v>
      </c>
      <c r="K28">
        <v>3900</v>
      </c>
      <c r="L28">
        <v>6</v>
      </c>
      <c r="M28" t="s">
        <v>42</v>
      </c>
      <c r="N28" t="s">
        <v>42</v>
      </c>
      <c r="O28" s="2"/>
    </row>
    <row r="29" spans="1:15" x14ac:dyDescent="0.25">
      <c r="A29" t="s">
        <v>94</v>
      </c>
      <c r="B29" t="s">
        <v>95</v>
      </c>
      <c r="C29" t="s">
        <v>40</v>
      </c>
      <c r="E29">
        <v>5</v>
      </c>
      <c r="F29">
        <v>25</v>
      </c>
      <c r="G29">
        <v>380</v>
      </c>
      <c r="H29">
        <v>7</v>
      </c>
      <c r="I29">
        <v>8</v>
      </c>
      <c r="J29" t="s">
        <v>49</v>
      </c>
      <c r="K29">
        <v>1900</v>
      </c>
      <c r="L29">
        <v>0.7</v>
      </c>
      <c r="M29" t="s">
        <v>42</v>
      </c>
      <c r="N29" t="s">
        <v>42</v>
      </c>
      <c r="O29" s="2"/>
    </row>
    <row r="30" spans="1:15" x14ac:dyDescent="0.25">
      <c r="A30" t="s">
        <v>96</v>
      </c>
      <c r="B30" t="s">
        <v>97</v>
      </c>
      <c r="C30" t="s">
        <v>48</v>
      </c>
      <c r="D30" s="2">
        <v>46065</v>
      </c>
      <c r="E30">
        <v>40</v>
      </c>
      <c r="F30">
        <v>20</v>
      </c>
      <c r="G30">
        <v>110</v>
      </c>
      <c r="H30">
        <v>3</v>
      </c>
      <c r="I30">
        <v>14</v>
      </c>
      <c r="J30" t="s">
        <v>41</v>
      </c>
      <c r="K30">
        <v>4400</v>
      </c>
      <c r="L30">
        <v>13.3</v>
      </c>
      <c r="M30" t="s">
        <v>42</v>
      </c>
      <c r="N30" t="s">
        <v>42</v>
      </c>
      <c r="O30" s="2">
        <f>D30+I30</f>
        <v>46079</v>
      </c>
    </row>
    <row r="31" spans="1:15" x14ac:dyDescent="0.25">
      <c r="A31" t="s">
        <v>98</v>
      </c>
      <c r="B31" t="s">
        <v>99</v>
      </c>
      <c r="C31" t="s">
        <v>45</v>
      </c>
      <c r="E31">
        <v>200</v>
      </c>
      <c r="F31">
        <v>80</v>
      </c>
      <c r="G31">
        <v>45</v>
      </c>
      <c r="H31">
        <v>18</v>
      </c>
      <c r="I31">
        <v>3</v>
      </c>
      <c r="J31" t="s">
        <v>41</v>
      </c>
      <c r="K31">
        <v>9000</v>
      </c>
      <c r="L31">
        <v>11.1</v>
      </c>
      <c r="M31" t="s">
        <v>42</v>
      </c>
      <c r="N31" t="s">
        <v>42</v>
      </c>
      <c r="O31" s="2"/>
    </row>
    <row r="32" spans="1:15" x14ac:dyDescent="0.25">
      <c r="A32" t="s">
        <v>100</v>
      </c>
      <c r="B32" t="s">
        <v>101</v>
      </c>
      <c r="C32" t="s">
        <v>40</v>
      </c>
      <c r="D32" s="2">
        <v>46067</v>
      </c>
      <c r="E32">
        <v>18</v>
      </c>
      <c r="F32">
        <v>25</v>
      </c>
      <c r="G32">
        <v>750</v>
      </c>
      <c r="H32">
        <v>4</v>
      </c>
      <c r="I32">
        <v>10</v>
      </c>
      <c r="J32" t="s">
        <v>56</v>
      </c>
      <c r="K32">
        <v>13500</v>
      </c>
      <c r="L32">
        <v>4.5</v>
      </c>
      <c r="M32" t="s">
        <v>42</v>
      </c>
      <c r="N32" t="s">
        <v>42</v>
      </c>
      <c r="O32" s="2">
        <f>D32+I32</f>
        <v>46077</v>
      </c>
    </row>
    <row r="33" spans="1:15" x14ac:dyDescent="0.25">
      <c r="A33" t="s">
        <v>102</v>
      </c>
      <c r="B33" t="s">
        <v>103</v>
      </c>
      <c r="C33" t="s">
        <v>48</v>
      </c>
      <c r="E33">
        <v>65</v>
      </c>
      <c r="F33">
        <v>30</v>
      </c>
      <c r="G33">
        <v>95</v>
      </c>
      <c r="H33">
        <v>6</v>
      </c>
      <c r="I33">
        <v>5</v>
      </c>
      <c r="J33" t="s">
        <v>41</v>
      </c>
      <c r="K33">
        <v>6175</v>
      </c>
      <c r="L33">
        <v>10.8</v>
      </c>
      <c r="M33" t="s">
        <v>42</v>
      </c>
      <c r="N33" t="s">
        <v>42</v>
      </c>
      <c r="O33" s="2"/>
    </row>
    <row r="34" spans="1:15" x14ac:dyDescent="0.25">
      <c r="A34" t="s">
        <v>104</v>
      </c>
      <c r="B34" t="s">
        <v>105</v>
      </c>
      <c r="C34" t="s">
        <v>45</v>
      </c>
      <c r="E34">
        <v>140</v>
      </c>
      <c r="F34">
        <v>60</v>
      </c>
      <c r="G34">
        <v>115</v>
      </c>
      <c r="H34">
        <v>12</v>
      </c>
      <c r="I34">
        <v>4</v>
      </c>
      <c r="J34" t="s">
        <v>41</v>
      </c>
      <c r="K34">
        <v>16100</v>
      </c>
      <c r="L34">
        <v>11.7</v>
      </c>
      <c r="M34" t="s">
        <v>42</v>
      </c>
      <c r="N34" t="s">
        <v>42</v>
      </c>
      <c r="O34" s="2"/>
    </row>
    <row r="35" spans="1:15" x14ac:dyDescent="0.25">
      <c r="A35" t="s">
        <v>106</v>
      </c>
      <c r="B35" t="s">
        <v>16</v>
      </c>
      <c r="C35" t="s">
        <v>40</v>
      </c>
      <c r="D35" s="2">
        <v>46070</v>
      </c>
      <c r="E35">
        <v>0</v>
      </c>
      <c r="F35">
        <v>20</v>
      </c>
      <c r="G35">
        <v>320</v>
      </c>
      <c r="H35">
        <v>5</v>
      </c>
      <c r="I35">
        <v>10</v>
      </c>
      <c r="J35" t="s">
        <v>49</v>
      </c>
      <c r="K35">
        <v>0</v>
      </c>
      <c r="L35">
        <v>0</v>
      </c>
      <c r="M35" t="s">
        <v>42</v>
      </c>
      <c r="N35" t="s">
        <v>42</v>
      </c>
      <c r="O35" s="2">
        <f>D35+I35</f>
        <v>46080</v>
      </c>
    </row>
    <row r="36" spans="1:15" x14ac:dyDescent="0.25">
      <c r="A36" t="s">
        <v>107</v>
      </c>
      <c r="B36" t="s">
        <v>108</v>
      </c>
      <c r="C36" t="s">
        <v>48</v>
      </c>
      <c r="E36">
        <v>35</v>
      </c>
      <c r="F36">
        <v>15</v>
      </c>
      <c r="G36">
        <v>180</v>
      </c>
      <c r="H36">
        <v>3</v>
      </c>
      <c r="I36">
        <v>7</v>
      </c>
      <c r="J36" t="s">
        <v>41</v>
      </c>
      <c r="K36">
        <v>6300</v>
      </c>
      <c r="L36">
        <v>11.7</v>
      </c>
      <c r="M36" t="s">
        <v>42</v>
      </c>
      <c r="N36" t="s">
        <v>42</v>
      </c>
      <c r="O36" s="2"/>
    </row>
    <row r="37" spans="1:15" x14ac:dyDescent="0.25">
      <c r="A37" t="s">
        <v>109</v>
      </c>
      <c r="B37" t="s">
        <v>12</v>
      </c>
      <c r="C37" t="s">
        <v>45</v>
      </c>
      <c r="E37">
        <v>0</v>
      </c>
      <c r="F37">
        <v>25</v>
      </c>
      <c r="G37">
        <v>160</v>
      </c>
      <c r="H37">
        <v>4</v>
      </c>
      <c r="I37">
        <v>10</v>
      </c>
      <c r="J37" t="s">
        <v>41</v>
      </c>
      <c r="K37">
        <v>0</v>
      </c>
      <c r="L37">
        <v>0</v>
      </c>
      <c r="M37" t="s">
        <v>42</v>
      </c>
      <c r="N37" t="s">
        <v>42</v>
      </c>
      <c r="O37" s="2"/>
    </row>
    <row r="38" spans="1:15" x14ac:dyDescent="0.25">
      <c r="A38" t="s">
        <v>110</v>
      </c>
      <c r="B38" t="s">
        <v>111</v>
      </c>
      <c r="C38" t="s">
        <v>40</v>
      </c>
      <c r="D38" s="2">
        <v>46073</v>
      </c>
      <c r="E38">
        <v>50</v>
      </c>
      <c r="F38">
        <v>30</v>
      </c>
      <c r="G38">
        <v>340</v>
      </c>
      <c r="H38">
        <v>8</v>
      </c>
      <c r="I38">
        <v>6</v>
      </c>
      <c r="J38" t="s">
        <v>41</v>
      </c>
      <c r="K38">
        <v>17000</v>
      </c>
      <c r="L38">
        <v>6.2</v>
      </c>
      <c r="M38" t="s">
        <v>42</v>
      </c>
      <c r="N38" t="s">
        <v>42</v>
      </c>
      <c r="O38" s="2">
        <f>D38+I38</f>
        <v>46079</v>
      </c>
    </row>
    <row r="39" spans="1:15" x14ac:dyDescent="0.25">
      <c r="A39" t="s">
        <v>112</v>
      </c>
      <c r="B39" t="s">
        <v>113</v>
      </c>
      <c r="C39" t="s">
        <v>48</v>
      </c>
      <c r="E39">
        <v>500</v>
      </c>
      <c r="F39">
        <v>150</v>
      </c>
      <c r="G39">
        <v>29</v>
      </c>
      <c r="H39">
        <v>35</v>
      </c>
      <c r="I39">
        <v>3</v>
      </c>
      <c r="J39" t="s">
        <v>41</v>
      </c>
      <c r="K39">
        <v>14500</v>
      </c>
      <c r="L39">
        <v>14.3</v>
      </c>
      <c r="M39" t="s">
        <v>42</v>
      </c>
      <c r="N39" t="s">
        <v>42</v>
      </c>
      <c r="O39" s="2"/>
    </row>
    <row r="40" spans="1:15" x14ac:dyDescent="0.25">
      <c r="A40" t="s">
        <v>114</v>
      </c>
      <c r="B40" t="s">
        <v>115</v>
      </c>
      <c r="C40" t="s">
        <v>48</v>
      </c>
      <c r="E40">
        <v>120</v>
      </c>
      <c r="F40">
        <v>50</v>
      </c>
      <c r="G40">
        <v>15</v>
      </c>
      <c r="H40">
        <v>12</v>
      </c>
      <c r="I40">
        <v>5</v>
      </c>
      <c r="J40" t="s">
        <v>41</v>
      </c>
      <c r="K40">
        <v>1800</v>
      </c>
      <c r="L40">
        <v>10</v>
      </c>
      <c r="M40" t="s">
        <v>42</v>
      </c>
      <c r="N40" t="s">
        <v>42</v>
      </c>
      <c r="O40" s="2"/>
    </row>
    <row r="41" spans="1:15" x14ac:dyDescent="0.25">
      <c r="A41" t="s">
        <v>116</v>
      </c>
      <c r="B41" t="s">
        <v>117</v>
      </c>
      <c r="C41" t="s">
        <v>45</v>
      </c>
      <c r="D41" s="2">
        <v>46076</v>
      </c>
      <c r="E41">
        <v>45</v>
      </c>
      <c r="F41">
        <v>20</v>
      </c>
      <c r="G41">
        <v>95</v>
      </c>
      <c r="H41">
        <v>6</v>
      </c>
      <c r="I41">
        <v>7</v>
      </c>
      <c r="J41" t="s">
        <v>49</v>
      </c>
      <c r="K41">
        <v>4275</v>
      </c>
      <c r="L41">
        <v>7.5</v>
      </c>
      <c r="M41" t="s">
        <v>42</v>
      </c>
      <c r="N41" t="s">
        <v>42</v>
      </c>
      <c r="O41" s="2">
        <f>D41+I41</f>
        <v>46083</v>
      </c>
    </row>
    <row r="42" spans="1:15" x14ac:dyDescent="0.25">
      <c r="A42" t="s">
        <v>118</v>
      </c>
      <c r="B42" t="s">
        <v>119</v>
      </c>
      <c r="C42" t="s">
        <v>40</v>
      </c>
      <c r="E42">
        <v>15</v>
      </c>
      <c r="F42">
        <v>30</v>
      </c>
      <c r="G42">
        <v>999</v>
      </c>
      <c r="H42">
        <v>5</v>
      </c>
      <c r="I42">
        <v>12</v>
      </c>
      <c r="J42" t="s">
        <v>56</v>
      </c>
      <c r="K42">
        <v>14985</v>
      </c>
      <c r="L42">
        <v>3</v>
      </c>
      <c r="M42" t="s">
        <v>42</v>
      </c>
      <c r="N42" t="s">
        <v>42</v>
      </c>
      <c r="O42" s="2"/>
    </row>
    <row r="43" spans="1:15" x14ac:dyDescent="0.25">
      <c r="A43" t="s">
        <v>120</v>
      </c>
      <c r="B43" t="s">
        <v>121</v>
      </c>
      <c r="C43" t="s">
        <v>48</v>
      </c>
      <c r="E43">
        <v>80</v>
      </c>
      <c r="F43">
        <v>30</v>
      </c>
      <c r="G43">
        <v>35</v>
      </c>
      <c r="H43">
        <v>4</v>
      </c>
      <c r="I43">
        <v>4</v>
      </c>
      <c r="J43" t="s">
        <v>41</v>
      </c>
      <c r="K43">
        <v>2800</v>
      </c>
      <c r="L43">
        <v>20</v>
      </c>
      <c r="M43" t="s">
        <v>42</v>
      </c>
      <c r="N43" t="s">
        <v>42</v>
      </c>
      <c r="O43" s="2"/>
    </row>
    <row r="44" spans="1:15" x14ac:dyDescent="0.25">
      <c r="A44" t="s">
        <v>122</v>
      </c>
      <c r="B44" t="s">
        <v>123</v>
      </c>
      <c r="C44" t="s">
        <v>45</v>
      </c>
      <c r="D44" s="2">
        <v>46079</v>
      </c>
      <c r="E44">
        <v>300</v>
      </c>
      <c r="F44">
        <v>100</v>
      </c>
      <c r="G44">
        <v>39</v>
      </c>
      <c r="H44">
        <v>25</v>
      </c>
      <c r="I44">
        <v>3</v>
      </c>
      <c r="J44" t="s">
        <v>41</v>
      </c>
      <c r="K44">
        <v>11700</v>
      </c>
      <c r="L44">
        <v>12</v>
      </c>
      <c r="M44" t="s">
        <v>42</v>
      </c>
      <c r="N44" t="s">
        <v>42</v>
      </c>
      <c r="O44" s="2">
        <f>D44+I44</f>
        <v>46082</v>
      </c>
    </row>
    <row r="45" spans="1:15" x14ac:dyDescent="0.25">
      <c r="A45" t="s">
        <v>124</v>
      </c>
      <c r="B45" t="s">
        <v>125</v>
      </c>
      <c r="C45" t="s">
        <v>40</v>
      </c>
      <c r="E45">
        <v>25</v>
      </c>
      <c r="F45">
        <v>15</v>
      </c>
      <c r="G45">
        <v>480</v>
      </c>
      <c r="H45">
        <v>3</v>
      </c>
      <c r="I45">
        <v>15</v>
      </c>
      <c r="J45" t="s">
        <v>41</v>
      </c>
      <c r="K45">
        <v>12000</v>
      </c>
      <c r="L45">
        <v>8.3000000000000007</v>
      </c>
      <c r="M45" t="s">
        <v>42</v>
      </c>
      <c r="N45" t="s">
        <v>42</v>
      </c>
      <c r="O45" s="2"/>
    </row>
    <row r="46" spans="1:15" x14ac:dyDescent="0.25">
      <c r="A46" t="s">
        <v>126</v>
      </c>
      <c r="B46" t="s">
        <v>127</v>
      </c>
      <c r="C46" t="s">
        <v>48</v>
      </c>
      <c r="E46">
        <v>60</v>
      </c>
      <c r="F46">
        <v>25</v>
      </c>
      <c r="G46">
        <v>55</v>
      </c>
      <c r="H46">
        <v>5</v>
      </c>
      <c r="I46">
        <v>5</v>
      </c>
      <c r="J46" t="s">
        <v>41</v>
      </c>
      <c r="K46">
        <v>3300</v>
      </c>
      <c r="L46">
        <v>12</v>
      </c>
      <c r="M46" t="s">
        <v>42</v>
      </c>
      <c r="N46" t="s">
        <v>42</v>
      </c>
      <c r="O46" s="2"/>
    </row>
    <row r="47" spans="1:15" x14ac:dyDescent="0.25">
      <c r="A47" t="s">
        <v>128</v>
      </c>
      <c r="B47" t="s">
        <v>129</v>
      </c>
      <c r="C47" t="s">
        <v>45</v>
      </c>
      <c r="D47" s="2">
        <v>46082</v>
      </c>
      <c r="E47">
        <v>8</v>
      </c>
      <c r="F47">
        <v>12</v>
      </c>
      <c r="G47">
        <v>220</v>
      </c>
      <c r="H47">
        <v>1</v>
      </c>
      <c r="I47">
        <v>20</v>
      </c>
      <c r="J47" t="s">
        <v>56</v>
      </c>
      <c r="K47">
        <v>1760</v>
      </c>
      <c r="L47">
        <v>8</v>
      </c>
      <c r="M47" t="s">
        <v>42</v>
      </c>
      <c r="N47" t="s">
        <v>42</v>
      </c>
      <c r="O47" s="2">
        <f>D47+I47</f>
        <v>46102</v>
      </c>
    </row>
    <row r="48" spans="1:15" x14ac:dyDescent="0.25">
      <c r="A48" t="s">
        <v>130</v>
      </c>
      <c r="B48" t="s">
        <v>131</v>
      </c>
      <c r="C48" t="s">
        <v>40</v>
      </c>
      <c r="E48">
        <v>42</v>
      </c>
      <c r="F48">
        <v>25</v>
      </c>
      <c r="G48">
        <v>350</v>
      </c>
      <c r="H48">
        <v>6</v>
      </c>
      <c r="I48">
        <v>8</v>
      </c>
      <c r="J48" t="s">
        <v>41</v>
      </c>
      <c r="K48">
        <v>14700</v>
      </c>
      <c r="L48">
        <v>7</v>
      </c>
      <c r="M48" t="s">
        <v>42</v>
      </c>
      <c r="N48" t="s">
        <v>42</v>
      </c>
      <c r="O48" s="2"/>
    </row>
    <row r="49" spans="1:15" x14ac:dyDescent="0.25">
      <c r="A49" t="s">
        <v>132</v>
      </c>
      <c r="B49" t="s">
        <v>133</v>
      </c>
      <c r="C49" t="s">
        <v>48</v>
      </c>
      <c r="E49">
        <v>14</v>
      </c>
      <c r="F49">
        <v>20</v>
      </c>
      <c r="G49">
        <v>180</v>
      </c>
      <c r="H49">
        <v>4</v>
      </c>
      <c r="I49">
        <v>10</v>
      </c>
      <c r="J49" t="s">
        <v>49</v>
      </c>
      <c r="K49">
        <v>2520</v>
      </c>
      <c r="L49">
        <v>3.5</v>
      </c>
      <c r="M49" t="s">
        <v>42</v>
      </c>
      <c r="N49" t="s">
        <v>42</v>
      </c>
      <c r="O49" s="2"/>
    </row>
    <row r="50" spans="1:15" x14ac:dyDescent="0.25">
      <c r="A50" t="s">
        <v>134</v>
      </c>
      <c r="B50" t="s">
        <v>135</v>
      </c>
      <c r="C50" t="s">
        <v>45</v>
      </c>
      <c r="D50" s="2">
        <v>46085</v>
      </c>
      <c r="E50">
        <v>95</v>
      </c>
      <c r="F50">
        <v>40</v>
      </c>
      <c r="G50">
        <v>89</v>
      </c>
      <c r="H50">
        <v>10</v>
      </c>
      <c r="I50">
        <v>5</v>
      </c>
      <c r="J50" t="s">
        <v>41</v>
      </c>
      <c r="K50">
        <v>8455</v>
      </c>
      <c r="L50">
        <v>9.5</v>
      </c>
      <c r="M50" t="s">
        <v>42</v>
      </c>
      <c r="N50" t="s">
        <v>42</v>
      </c>
      <c r="O50" s="2">
        <f>D50+I50</f>
        <v>46090</v>
      </c>
    </row>
    <row r="51" spans="1:15" x14ac:dyDescent="0.25">
      <c r="A51" t="s">
        <v>136</v>
      </c>
      <c r="B51" t="s">
        <v>137</v>
      </c>
      <c r="C51" t="s">
        <v>40</v>
      </c>
      <c r="E51">
        <v>22</v>
      </c>
      <c r="F51">
        <v>20</v>
      </c>
      <c r="G51">
        <v>650</v>
      </c>
      <c r="H51">
        <v>3</v>
      </c>
      <c r="I51">
        <v>14</v>
      </c>
      <c r="J51" t="s">
        <v>41</v>
      </c>
      <c r="K51">
        <v>14300</v>
      </c>
      <c r="L51">
        <v>7.3</v>
      </c>
      <c r="M51" t="s">
        <v>42</v>
      </c>
      <c r="N51" t="s">
        <v>42</v>
      </c>
      <c r="O51" s="2"/>
    </row>
    <row r="52" spans="1:15" x14ac:dyDescent="0.25">
      <c r="A52" t="s">
        <v>138</v>
      </c>
      <c r="B52" t="s">
        <v>14</v>
      </c>
      <c r="C52" t="s">
        <v>48</v>
      </c>
      <c r="E52">
        <v>0</v>
      </c>
      <c r="F52">
        <v>15</v>
      </c>
      <c r="G52">
        <v>65</v>
      </c>
      <c r="H52">
        <v>4</v>
      </c>
      <c r="I52">
        <v>7</v>
      </c>
      <c r="J52" t="s">
        <v>41</v>
      </c>
      <c r="K52">
        <v>0</v>
      </c>
      <c r="L52">
        <v>0</v>
      </c>
      <c r="M52" t="s">
        <v>42</v>
      </c>
      <c r="N52" t="s">
        <v>42</v>
      </c>
      <c r="O52" s="2"/>
    </row>
    <row r="53" spans="1:15" x14ac:dyDescent="0.25">
      <c r="A53" t="s">
        <v>139</v>
      </c>
      <c r="B53" t="s">
        <v>140</v>
      </c>
      <c r="C53" t="s">
        <v>45</v>
      </c>
      <c r="D53" s="2">
        <v>46088</v>
      </c>
      <c r="E53">
        <v>75</v>
      </c>
      <c r="F53">
        <v>30</v>
      </c>
      <c r="G53">
        <v>85</v>
      </c>
      <c r="H53">
        <v>7</v>
      </c>
      <c r="I53">
        <v>6</v>
      </c>
      <c r="J53" t="s">
        <v>41</v>
      </c>
      <c r="K53">
        <v>6375</v>
      </c>
      <c r="L53">
        <v>10.7</v>
      </c>
      <c r="M53" t="s">
        <v>42</v>
      </c>
      <c r="N53" t="s">
        <v>42</v>
      </c>
      <c r="O53" s="2">
        <f>D53+I53</f>
        <v>46094</v>
      </c>
    </row>
    <row r="54" spans="1:15" x14ac:dyDescent="0.25">
      <c r="A54" t="s">
        <v>141</v>
      </c>
      <c r="B54" t="s">
        <v>142</v>
      </c>
      <c r="C54" t="s">
        <v>40</v>
      </c>
      <c r="E54">
        <v>3</v>
      </c>
      <c r="F54">
        <v>15</v>
      </c>
      <c r="G54">
        <v>550</v>
      </c>
      <c r="H54">
        <v>5</v>
      </c>
      <c r="I54">
        <v>10</v>
      </c>
      <c r="J54" t="s">
        <v>56</v>
      </c>
      <c r="K54">
        <v>1650</v>
      </c>
      <c r="L54">
        <v>0.6</v>
      </c>
      <c r="M54" t="s">
        <v>42</v>
      </c>
      <c r="N54" t="s">
        <v>42</v>
      </c>
      <c r="O54" s="2"/>
    </row>
    <row r="55" spans="1:15" x14ac:dyDescent="0.25">
      <c r="A55" t="s">
        <v>143</v>
      </c>
      <c r="B55" t="s">
        <v>144</v>
      </c>
      <c r="C55" t="s">
        <v>48</v>
      </c>
      <c r="E55">
        <v>28</v>
      </c>
      <c r="F55">
        <v>15</v>
      </c>
      <c r="G55">
        <v>140</v>
      </c>
      <c r="H55">
        <v>4</v>
      </c>
      <c r="I55">
        <v>8</v>
      </c>
      <c r="J55" t="s">
        <v>49</v>
      </c>
      <c r="K55">
        <v>3920</v>
      </c>
      <c r="L55">
        <v>7</v>
      </c>
      <c r="M55" t="s">
        <v>42</v>
      </c>
      <c r="N55" t="s">
        <v>42</v>
      </c>
      <c r="O55" s="2"/>
    </row>
    <row r="56" spans="1:15" x14ac:dyDescent="0.25">
      <c r="A56" t="s">
        <v>145</v>
      </c>
      <c r="B56" t="s">
        <v>146</v>
      </c>
      <c r="C56" t="s">
        <v>45</v>
      </c>
      <c r="D56" s="2">
        <v>46091</v>
      </c>
      <c r="E56">
        <v>60</v>
      </c>
      <c r="F56">
        <v>25</v>
      </c>
      <c r="G56">
        <v>110</v>
      </c>
      <c r="H56">
        <v>6</v>
      </c>
      <c r="I56">
        <v>7</v>
      </c>
      <c r="J56" t="s">
        <v>41</v>
      </c>
      <c r="K56">
        <v>6600</v>
      </c>
      <c r="L56">
        <v>10</v>
      </c>
      <c r="M56" t="s">
        <v>42</v>
      </c>
      <c r="N56" t="s">
        <v>42</v>
      </c>
      <c r="O56" s="2">
        <f>D56+I56</f>
        <v>46098</v>
      </c>
    </row>
    <row r="57" spans="1:15" x14ac:dyDescent="0.25">
      <c r="A57" t="s">
        <v>147</v>
      </c>
      <c r="B57" t="s">
        <v>148</v>
      </c>
      <c r="C57" t="s">
        <v>40</v>
      </c>
      <c r="E57">
        <v>18</v>
      </c>
      <c r="F57">
        <v>20</v>
      </c>
      <c r="G57">
        <v>420</v>
      </c>
      <c r="H57">
        <v>4</v>
      </c>
      <c r="I57">
        <v>12</v>
      </c>
      <c r="J57" t="s">
        <v>41</v>
      </c>
      <c r="K57">
        <v>7560</v>
      </c>
      <c r="L57">
        <v>4.5</v>
      </c>
      <c r="M57" t="s">
        <v>42</v>
      </c>
      <c r="N57" t="s">
        <v>42</v>
      </c>
      <c r="O57" s="2"/>
    </row>
    <row r="58" spans="1:15" x14ac:dyDescent="0.25">
      <c r="A58" t="s">
        <v>149</v>
      </c>
      <c r="B58" t="s">
        <v>150</v>
      </c>
      <c r="C58" t="s">
        <v>48</v>
      </c>
      <c r="E58">
        <v>150</v>
      </c>
      <c r="F58">
        <v>50</v>
      </c>
      <c r="G58">
        <v>45</v>
      </c>
      <c r="H58">
        <v>15</v>
      </c>
      <c r="I58">
        <v>5</v>
      </c>
      <c r="J58" t="s">
        <v>41</v>
      </c>
      <c r="K58">
        <v>6750</v>
      </c>
      <c r="L58">
        <v>10</v>
      </c>
      <c r="M58" t="s">
        <v>42</v>
      </c>
      <c r="N58" t="s">
        <v>42</v>
      </c>
      <c r="O58" s="2"/>
    </row>
    <row r="59" spans="1:15" x14ac:dyDescent="0.25">
      <c r="A59" t="s">
        <v>151</v>
      </c>
      <c r="B59" t="s">
        <v>152</v>
      </c>
      <c r="C59" t="s">
        <v>45</v>
      </c>
      <c r="D59" s="2">
        <v>46094</v>
      </c>
      <c r="E59">
        <v>40</v>
      </c>
      <c r="F59">
        <v>20</v>
      </c>
      <c r="G59">
        <v>95</v>
      </c>
      <c r="H59">
        <v>5</v>
      </c>
      <c r="I59">
        <v>4</v>
      </c>
      <c r="J59" t="s">
        <v>41</v>
      </c>
      <c r="K59">
        <v>3800</v>
      </c>
      <c r="L59">
        <v>8</v>
      </c>
      <c r="M59" t="s">
        <v>42</v>
      </c>
      <c r="N59" t="s">
        <v>42</v>
      </c>
      <c r="O59" s="2">
        <f>D59+I59</f>
        <v>46098</v>
      </c>
    </row>
    <row r="60" spans="1:15" x14ac:dyDescent="0.25">
      <c r="A60" t="s">
        <v>153</v>
      </c>
      <c r="B60" t="s">
        <v>22</v>
      </c>
      <c r="C60" t="s">
        <v>40</v>
      </c>
      <c r="E60">
        <v>0</v>
      </c>
      <c r="F60">
        <v>30</v>
      </c>
      <c r="G60">
        <v>299</v>
      </c>
      <c r="H60">
        <v>10</v>
      </c>
      <c r="I60">
        <v>6</v>
      </c>
      <c r="J60" t="s">
        <v>49</v>
      </c>
      <c r="K60">
        <v>0</v>
      </c>
      <c r="L60">
        <v>0</v>
      </c>
      <c r="M60" t="s">
        <v>42</v>
      </c>
      <c r="N60" t="s">
        <v>42</v>
      </c>
      <c r="O60" s="2"/>
    </row>
    <row r="61" spans="1:15" x14ac:dyDescent="0.25">
      <c r="A61" t="s">
        <v>154</v>
      </c>
      <c r="B61" t="s">
        <v>155</v>
      </c>
      <c r="C61" t="s">
        <v>48</v>
      </c>
      <c r="E61">
        <v>12</v>
      </c>
      <c r="F61">
        <v>10</v>
      </c>
      <c r="G61">
        <v>890</v>
      </c>
      <c r="H61">
        <v>2</v>
      </c>
      <c r="I61">
        <v>15</v>
      </c>
      <c r="J61" t="s">
        <v>56</v>
      </c>
      <c r="K61">
        <v>10680</v>
      </c>
      <c r="L61">
        <v>6</v>
      </c>
      <c r="M61" t="s">
        <v>42</v>
      </c>
      <c r="N61" t="s">
        <v>42</v>
      </c>
      <c r="O61" s="2"/>
    </row>
    <row r="62" spans="1:15" x14ac:dyDescent="0.25">
      <c r="A62" t="s">
        <v>156</v>
      </c>
      <c r="B62" t="s">
        <v>157</v>
      </c>
      <c r="C62" t="s">
        <v>45</v>
      </c>
      <c r="D62" s="2">
        <v>46097</v>
      </c>
      <c r="E62">
        <v>25</v>
      </c>
      <c r="F62">
        <v>15</v>
      </c>
      <c r="G62">
        <v>350</v>
      </c>
      <c r="H62">
        <v>3</v>
      </c>
      <c r="I62">
        <v>10</v>
      </c>
      <c r="J62" t="s">
        <v>41</v>
      </c>
      <c r="K62">
        <v>8750</v>
      </c>
      <c r="L62">
        <v>8.3000000000000007</v>
      </c>
      <c r="M62" t="s">
        <v>42</v>
      </c>
      <c r="N62" t="s">
        <v>42</v>
      </c>
      <c r="O62" s="2">
        <f>D62+I62</f>
        <v>46107</v>
      </c>
    </row>
    <row r="63" spans="1:15" x14ac:dyDescent="0.25">
      <c r="A63" s="1" t="s">
        <v>158</v>
      </c>
      <c r="B63" s="1" t="s">
        <v>7</v>
      </c>
      <c r="C63" s="1" t="s">
        <v>40</v>
      </c>
      <c r="D63" s="1"/>
      <c r="E63" s="1">
        <v>85</v>
      </c>
      <c r="F63" s="1">
        <v>40</v>
      </c>
      <c r="G63" s="1">
        <v>380</v>
      </c>
      <c r="H63" s="1">
        <v>12</v>
      </c>
      <c r="I63" s="1">
        <v>7</v>
      </c>
      <c r="J63" s="1" t="s">
        <v>41</v>
      </c>
      <c r="K63" s="1">
        <v>32300</v>
      </c>
      <c r="L63" s="1">
        <v>7.1</v>
      </c>
      <c r="M63" s="1" t="s">
        <v>71</v>
      </c>
      <c r="N63" s="1" t="s">
        <v>71</v>
      </c>
      <c r="O63" s="3"/>
    </row>
    <row r="64" spans="1:15" x14ac:dyDescent="0.25">
      <c r="A64" t="s">
        <v>159</v>
      </c>
      <c r="B64" t="s">
        <v>160</v>
      </c>
      <c r="C64" t="s">
        <v>48</v>
      </c>
      <c r="E64">
        <v>110</v>
      </c>
      <c r="F64">
        <v>40</v>
      </c>
      <c r="G64">
        <v>45</v>
      </c>
      <c r="H64">
        <v>9</v>
      </c>
      <c r="I64">
        <v>5</v>
      </c>
      <c r="J64" t="s">
        <v>41</v>
      </c>
      <c r="K64">
        <v>4950</v>
      </c>
      <c r="L64">
        <v>12.2</v>
      </c>
      <c r="M64" t="s">
        <v>42</v>
      </c>
      <c r="N64" t="s">
        <v>42</v>
      </c>
      <c r="O64" s="2"/>
    </row>
    <row r="65" spans="1:15" x14ac:dyDescent="0.25">
      <c r="A65" t="s">
        <v>161</v>
      </c>
      <c r="B65" t="s">
        <v>18</v>
      </c>
      <c r="C65" t="s">
        <v>45</v>
      </c>
      <c r="D65" s="2">
        <v>46100</v>
      </c>
      <c r="E65">
        <v>0</v>
      </c>
      <c r="F65">
        <v>30</v>
      </c>
      <c r="G65">
        <v>120</v>
      </c>
      <c r="H65">
        <v>6</v>
      </c>
      <c r="I65">
        <v>8</v>
      </c>
      <c r="J65" t="s">
        <v>41</v>
      </c>
      <c r="K65">
        <v>0</v>
      </c>
      <c r="L65">
        <v>0</v>
      </c>
      <c r="M65" t="s">
        <v>42</v>
      </c>
      <c r="N65" t="s">
        <v>42</v>
      </c>
      <c r="O65" s="2">
        <f>D65+I65</f>
        <v>46108</v>
      </c>
    </row>
    <row r="66" spans="1:15" x14ac:dyDescent="0.25">
      <c r="A66" t="s">
        <v>162</v>
      </c>
      <c r="B66" t="s">
        <v>163</v>
      </c>
      <c r="C66" t="s">
        <v>40</v>
      </c>
      <c r="E66">
        <v>14</v>
      </c>
      <c r="F66">
        <v>25</v>
      </c>
      <c r="G66">
        <v>520</v>
      </c>
      <c r="H66">
        <v>4</v>
      </c>
      <c r="I66">
        <v>14</v>
      </c>
      <c r="J66" t="s">
        <v>49</v>
      </c>
      <c r="K66">
        <v>7280</v>
      </c>
      <c r="L66">
        <v>3.5</v>
      </c>
      <c r="M66" t="s">
        <v>42</v>
      </c>
      <c r="N66" t="s">
        <v>42</v>
      </c>
      <c r="O66" s="2"/>
    </row>
    <row r="67" spans="1:15" x14ac:dyDescent="0.25">
      <c r="A67" t="s">
        <v>164</v>
      </c>
      <c r="B67" t="s">
        <v>165</v>
      </c>
      <c r="C67" t="s">
        <v>48</v>
      </c>
      <c r="E67">
        <v>65</v>
      </c>
      <c r="F67">
        <v>30</v>
      </c>
      <c r="G67">
        <v>95</v>
      </c>
      <c r="H67">
        <v>7</v>
      </c>
      <c r="I67">
        <v>5</v>
      </c>
      <c r="J67" t="s">
        <v>41</v>
      </c>
      <c r="K67">
        <v>6175</v>
      </c>
      <c r="L67">
        <v>9.3000000000000007</v>
      </c>
      <c r="M67" t="s">
        <v>42</v>
      </c>
      <c r="N67" t="s">
        <v>42</v>
      </c>
      <c r="O67" s="2"/>
    </row>
    <row r="68" spans="1:15" x14ac:dyDescent="0.25">
      <c r="A68" t="s">
        <v>166</v>
      </c>
      <c r="B68" t="s">
        <v>167</v>
      </c>
      <c r="C68" t="s">
        <v>45</v>
      </c>
      <c r="D68" s="2">
        <v>46103</v>
      </c>
      <c r="E68">
        <v>50</v>
      </c>
      <c r="F68">
        <v>25</v>
      </c>
      <c r="G68">
        <v>140</v>
      </c>
      <c r="H68">
        <v>8</v>
      </c>
      <c r="I68">
        <v>6</v>
      </c>
      <c r="J68" t="s">
        <v>41</v>
      </c>
      <c r="K68">
        <v>7000</v>
      </c>
      <c r="L68">
        <v>6.2</v>
      </c>
      <c r="M68" t="s">
        <v>42</v>
      </c>
      <c r="N68" t="s">
        <v>42</v>
      </c>
      <c r="O68" s="2">
        <f>D68+I68</f>
        <v>46109</v>
      </c>
    </row>
    <row r="69" spans="1:15" x14ac:dyDescent="0.25">
      <c r="A69" t="s">
        <v>168</v>
      </c>
      <c r="B69" t="s">
        <v>169</v>
      </c>
      <c r="C69" t="s">
        <v>40</v>
      </c>
      <c r="E69">
        <v>9</v>
      </c>
      <c r="F69">
        <v>40</v>
      </c>
      <c r="G69">
        <v>650</v>
      </c>
      <c r="H69">
        <v>15</v>
      </c>
      <c r="I69">
        <v>10</v>
      </c>
      <c r="J69" t="s">
        <v>56</v>
      </c>
      <c r="K69">
        <v>5850</v>
      </c>
      <c r="L69">
        <v>0.6</v>
      </c>
      <c r="M69" t="s">
        <v>42</v>
      </c>
      <c r="N69" t="s">
        <v>42</v>
      </c>
      <c r="O69" s="2"/>
    </row>
    <row r="70" spans="1:15" x14ac:dyDescent="0.25">
      <c r="A70" t="s">
        <v>170</v>
      </c>
      <c r="B70" t="s">
        <v>171</v>
      </c>
      <c r="C70" t="s">
        <v>48</v>
      </c>
      <c r="E70">
        <v>20</v>
      </c>
      <c r="F70">
        <v>10</v>
      </c>
      <c r="G70">
        <v>250</v>
      </c>
      <c r="H70">
        <v>2</v>
      </c>
      <c r="I70">
        <v>12</v>
      </c>
      <c r="J70" t="s">
        <v>41</v>
      </c>
      <c r="K70">
        <v>5000</v>
      </c>
      <c r="L70">
        <v>10</v>
      </c>
      <c r="M70" t="s">
        <v>42</v>
      </c>
      <c r="N70" t="s">
        <v>42</v>
      </c>
      <c r="O70" s="2"/>
    </row>
    <row r="71" spans="1:15" x14ac:dyDescent="0.25">
      <c r="A71" t="s">
        <v>172</v>
      </c>
      <c r="B71" t="s">
        <v>173</v>
      </c>
      <c r="C71" t="s">
        <v>45</v>
      </c>
      <c r="D71" s="2">
        <v>46106</v>
      </c>
      <c r="E71">
        <v>130</v>
      </c>
      <c r="F71">
        <v>50</v>
      </c>
      <c r="G71">
        <v>65</v>
      </c>
      <c r="H71">
        <v>14</v>
      </c>
      <c r="I71">
        <v>4</v>
      </c>
      <c r="J71" t="s">
        <v>41</v>
      </c>
      <c r="K71">
        <v>8450</v>
      </c>
      <c r="L71">
        <v>9.3000000000000007</v>
      </c>
      <c r="M71" t="s">
        <v>42</v>
      </c>
      <c r="N71" t="s">
        <v>42</v>
      </c>
      <c r="O71" s="2">
        <f>D71+I71</f>
        <v>46110</v>
      </c>
    </row>
    <row r="72" spans="1:15" x14ac:dyDescent="0.25">
      <c r="A72" s="1" t="s">
        <v>174</v>
      </c>
      <c r="B72" s="1" t="s">
        <v>13</v>
      </c>
      <c r="C72" s="1" t="s">
        <v>40</v>
      </c>
      <c r="D72" s="1"/>
      <c r="E72" s="1">
        <v>30</v>
      </c>
      <c r="F72" s="1">
        <v>20</v>
      </c>
      <c r="G72" s="1">
        <v>850</v>
      </c>
      <c r="H72" s="1">
        <v>5</v>
      </c>
      <c r="I72" s="1">
        <v>7</v>
      </c>
      <c r="J72" s="1" t="s">
        <v>41</v>
      </c>
      <c r="K72" s="1">
        <v>25500</v>
      </c>
      <c r="L72" s="1">
        <v>6</v>
      </c>
      <c r="M72" s="1" t="s">
        <v>71</v>
      </c>
      <c r="N72" s="1" t="s">
        <v>71</v>
      </c>
      <c r="O72" s="3"/>
    </row>
    <row r="73" spans="1:15" x14ac:dyDescent="0.25">
      <c r="A73" t="s">
        <v>175</v>
      </c>
      <c r="B73" t="s">
        <v>176</v>
      </c>
      <c r="C73" t="s">
        <v>48</v>
      </c>
      <c r="E73">
        <v>45</v>
      </c>
      <c r="F73">
        <v>20</v>
      </c>
      <c r="G73">
        <v>55</v>
      </c>
      <c r="H73">
        <v>4</v>
      </c>
      <c r="I73">
        <v>10</v>
      </c>
      <c r="J73" t="s">
        <v>49</v>
      </c>
      <c r="K73">
        <v>2475</v>
      </c>
      <c r="L73">
        <v>11.2</v>
      </c>
      <c r="M73" t="s">
        <v>42</v>
      </c>
      <c r="N73" t="s">
        <v>42</v>
      </c>
      <c r="O73" s="2"/>
    </row>
    <row r="74" spans="1:15" x14ac:dyDescent="0.25">
      <c r="A74" t="s">
        <v>177</v>
      </c>
      <c r="B74" t="s">
        <v>178</v>
      </c>
      <c r="C74" t="s">
        <v>45</v>
      </c>
      <c r="D74" s="2">
        <v>46109</v>
      </c>
      <c r="E74">
        <v>0</v>
      </c>
      <c r="F74">
        <v>100</v>
      </c>
      <c r="G74">
        <v>59</v>
      </c>
      <c r="H74">
        <v>25</v>
      </c>
      <c r="I74">
        <v>3</v>
      </c>
      <c r="J74" t="s">
        <v>41</v>
      </c>
      <c r="K74">
        <v>0</v>
      </c>
      <c r="L74">
        <v>0</v>
      </c>
      <c r="M74" t="s">
        <v>42</v>
      </c>
      <c r="N74" t="s">
        <v>42</v>
      </c>
      <c r="O74" s="2">
        <f>D74+I74</f>
        <v>46112</v>
      </c>
    </row>
    <row r="75" spans="1:15" x14ac:dyDescent="0.25">
      <c r="A75" s="1" t="s">
        <v>179</v>
      </c>
      <c r="B75" s="1" t="s">
        <v>17</v>
      </c>
      <c r="C75" s="1" t="s">
        <v>40</v>
      </c>
      <c r="D75" s="1"/>
      <c r="E75" s="1">
        <v>55</v>
      </c>
      <c r="F75" s="1">
        <v>25</v>
      </c>
      <c r="G75" s="1">
        <v>410</v>
      </c>
      <c r="H75" s="1">
        <v>6</v>
      </c>
      <c r="I75" s="1">
        <v>8</v>
      </c>
      <c r="J75" s="1" t="s">
        <v>41</v>
      </c>
      <c r="K75" s="1">
        <v>22550</v>
      </c>
      <c r="L75" s="1">
        <v>9.1999999999999993</v>
      </c>
      <c r="M75" s="1" t="s">
        <v>71</v>
      </c>
      <c r="N75" s="1" t="s">
        <v>71</v>
      </c>
      <c r="O75" s="3"/>
    </row>
    <row r="76" spans="1:15" x14ac:dyDescent="0.25">
      <c r="A76" t="s">
        <v>180</v>
      </c>
      <c r="B76" t="s">
        <v>181</v>
      </c>
      <c r="C76" t="s">
        <v>48</v>
      </c>
      <c r="E76">
        <v>12</v>
      </c>
      <c r="F76">
        <v>10</v>
      </c>
      <c r="G76">
        <v>75</v>
      </c>
      <c r="H76">
        <v>2</v>
      </c>
      <c r="I76">
        <v>15</v>
      </c>
      <c r="J76" t="s">
        <v>41</v>
      </c>
      <c r="K76">
        <v>900</v>
      </c>
      <c r="L76">
        <v>6</v>
      </c>
      <c r="M76" t="s">
        <v>42</v>
      </c>
      <c r="N76" t="s">
        <v>42</v>
      </c>
      <c r="O76" s="2"/>
    </row>
    <row r="77" spans="1:15" x14ac:dyDescent="0.25">
      <c r="A77" t="s">
        <v>182</v>
      </c>
      <c r="B77" t="s">
        <v>183</v>
      </c>
      <c r="C77" t="s">
        <v>45</v>
      </c>
      <c r="D77" s="2">
        <v>46112</v>
      </c>
      <c r="E77">
        <v>18</v>
      </c>
      <c r="F77">
        <v>10</v>
      </c>
      <c r="G77">
        <v>280</v>
      </c>
      <c r="H77">
        <v>3</v>
      </c>
      <c r="I77">
        <v>14</v>
      </c>
      <c r="J77" t="s">
        <v>56</v>
      </c>
      <c r="K77">
        <v>5040</v>
      </c>
      <c r="L77">
        <v>6</v>
      </c>
      <c r="M77" t="s">
        <v>42</v>
      </c>
      <c r="N77" t="s">
        <v>42</v>
      </c>
      <c r="O77" s="2">
        <f>D77+I77</f>
        <v>46126</v>
      </c>
    </row>
    <row r="78" spans="1:15" x14ac:dyDescent="0.25">
      <c r="A78" s="1" t="s">
        <v>184</v>
      </c>
      <c r="B78" s="1" t="s">
        <v>15</v>
      </c>
      <c r="C78" s="1" t="s">
        <v>40</v>
      </c>
      <c r="D78" s="1"/>
      <c r="E78" s="1">
        <v>60</v>
      </c>
      <c r="F78" s="1">
        <v>30</v>
      </c>
      <c r="G78" s="1">
        <v>390</v>
      </c>
      <c r="H78" s="1">
        <v>9</v>
      </c>
      <c r="I78" s="1">
        <v>7</v>
      </c>
      <c r="J78" s="1" t="s">
        <v>41</v>
      </c>
      <c r="K78" s="1">
        <v>23400</v>
      </c>
      <c r="L78" s="1">
        <v>6.7</v>
      </c>
      <c r="M78" s="1" t="s">
        <v>71</v>
      </c>
      <c r="N78" s="1" t="s">
        <v>71</v>
      </c>
      <c r="O78" s="3"/>
    </row>
    <row r="79" spans="1:15" x14ac:dyDescent="0.25">
      <c r="A79" t="s">
        <v>185</v>
      </c>
      <c r="B79" t="s">
        <v>186</v>
      </c>
      <c r="C79" t="s">
        <v>48</v>
      </c>
      <c r="E79">
        <v>85</v>
      </c>
      <c r="F79">
        <v>30</v>
      </c>
      <c r="G79">
        <v>120</v>
      </c>
      <c r="H79">
        <v>5</v>
      </c>
      <c r="I79">
        <v>5</v>
      </c>
      <c r="J79" t="s">
        <v>41</v>
      </c>
      <c r="K79">
        <v>10200</v>
      </c>
      <c r="L79">
        <v>17</v>
      </c>
      <c r="M79" t="s">
        <v>42</v>
      </c>
      <c r="N79" t="s">
        <v>42</v>
      </c>
      <c r="O79" s="2"/>
    </row>
    <row r="80" spans="1:15" x14ac:dyDescent="0.25">
      <c r="A80" t="s">
        <v>187</v>
      </c>
      <c r="B80" t="s">
        <v>188</v>
      </c>
      <c r="C80" t="s">
        <v>45</v>
      </c>
      <c r="D80" s="2">
        <v>46115</v>
      </c>
      <c r="E80">
        <v>40</v>
      </c>
      <c r="F80">
        <v>25</v>
      </c>
      <c r="G80">
        <v>130</v>
      </c>
      <c r="H80">
        <v>7</v>
      </c>
      <c r="I80">
        <v>6</v>
      </c>
      <c r="J80" t="s">
        <v>41</v>
      </c>
      <c r="K80">
        <v>5200</v>
      </c>
      <c r="L80">
        <v>5.7</v>
      </c>
      <c r="M80" t="s">
        <v>42</v>
      </c>
      <c r="N80" t="s">
        <v>42</v>
      </c>
      <c r="O80" s="2">
        <f>D80+I80</f>
        <v>46121</v>
      </c>
    </row>
    <row r="81" spans="1:15" x14ac:dyDescent="0.25">
      <c r="A81" t="s">
        <v>189</v>
      </c>
      <c r="B81" t="s">
        <v>190</v>
      </c>
      <c r="C81" t="s">
        <v>40</v>
      </c>
      <c r="E81">
        <v>5</v>
      </c>
      <c r="F81">
        <v>20</v>
      </c>
      <c r="G81">
        <v>580</v>
      </c>
      <c r="H81">
        <v>4</v>
      </c>
      <c r="I81">
        <v>10</v>
      </c>
      <c r="J81" t="s">
        <v>49</v>
      </c>
      <c r="K81">
        <v>2900</v>
      </c>
      <c r="L81">
        <v>1.2</v>
      </c>
      <c r="M81" t="s">
        <v>42</v>
      </c>
      <c r="N81" t="s">
        <v>42</v>
      </c>
      <c r="O81" s="2"/>
    </row>
    <row r="82" spans="1:15" x14ac:dyDescent="0.25">
      <c r="A82" t="s">
        <v>191</v>
      </c>
      <c r="B82" t="s">
        <v>192</v>
      </c>
      <c r="C82" t="s">
        <v>48</v>
      </c>
      <c r="E82">
        <v>7</v>
      </c>
      <c r="F82">
        <v>5</v>
      </c>
      <c r="G82">
        <v>450</v>
      </c>
      <c r="H82">
        <v>1</v>
      </c>
      <c r="I82">
        <v>25</v>
      </c>
      <c r="J82" t="s">
        <v>41</v>
      </c>
      <c r="K82">
        <v>3150</v>
      </c>
      <c r="L82">
        <v>7</v>
      </c>
      <c r="M82" t="s">
        <v>42</v>
      </c>
      <c r="N82" t="s">
        <v>42</v>
      </c>
      <c r="O82" s="2"/>
    </row>
    <row r="83" spans="1:15" x14ac:dyDescent="0.25">
      <c r="A83" t="s">
        <v>193</v>
      </c>
      <c r="B83" t="s">
        <v>194</v>
      </c>
      <c r="C83" t="s">
        <v>45</v>
      </c>
      <c r="D83" s="2">
        <v>46118</v>
      </c>
      <c r="E83">
        <v>200</v>
      </c>
      <c r="F83">
        <v>80</v>
      </c>
      <c r="G83">
        <v>95</v>
      </c>
      <c r="H83">
        <v>20</v>
      </c>
      <c r="I83">
        <v>4</v>
      </c>
      <c r="J83" t="s">
        <v>41</v>
      </c>
      <c r="K83">
        <v>19000</v>
      </c>
      <c r="L83">
        <v>10</v>
      </c>
      <c r="M83" t="s">
        <v>42</v>
      </c>
      <c r="N83" t="s">
        <v>42</v>
      </c>
      <c r="O83" s="2">
        <f>D83+I83</f>
        <v>46122</v>
      </c>
    </row>
    <row r="84" spans="1:15" x14ac:dyDescent="0.25">
      <c r="A84" t="s">
        <v>195</v>
      </c>
      <c r="B84" t="s">
        <v>196</v>
      </c>
      <c r="C84" t="s">
        <v>40</v>
      </c>
      <c r="E84">
        <v>0</v>
      </c>
      <c r="F84">
        <v>25</v>
      </c>
      <c r="G84">
        <v>499</v>
      </c>
      <c r="H84">
        <v>6</v>
      </c>
      <c r="I84">
        <v>12</v>
      </c>
      <c r="J84" t="s">
        <v>41</v>
      </c>
      <c r="K84">
        <v>0</v>
      </c>
      <c r="L84">
        <v>0</v>
      </c>
      <c r="M84" t="s">
        <v>42</v>
      </c>
      <c r="N84" t="s">
        <v>42</v>
      </c>
      <c r="O84" s="2"/>
    </row>
    <row r="85" spans="1:15" x14ac:dyDescent="0.25">
      <c r="A85" t="s">
        <v>197</v>
      </c>
      <c r="B85" t="s">
        <v>198</v>
      </c>
      <c r="C85" t="s">
        <v>48</v>
      </c>
      <c r="E85">
        <v>95</v>
      </c>
      <c r="F85">
        <v>30</v>
      </c>
      <c r="G85">
        <v>35</v>
      </c>
      <c r="H85">
        <v>8</v>
      </c>
      <c r="I85">
        <v>5</v>
      </c>
      <c r="J85" t="s">
        <v>41</v>
      </c>
      <c r="K85">
        <v>3325</v>
      </c>
      <c r="L85">
        <v>11.9</v>
      </c>
      <c r="M85" t="s">
        <v>42</v>
      </c>
      <c r="N85" t="s">
        <v>42</v>
      </c>
      <c r="O85" s="2"/>
    </row>
    <row r="86" spans="1:15" x14ac:dyDescent="0.25">
      <c r="A86" t="s">
        <v>199</v>
      </c>
      <c r="B86" t="s">
        <v>200</v>
      </c>
      <c r="C86" t="s">
        <v>45</v>
      </c>
      <c r="D86" s="2">
        <v>46121</v>
      </c>
      <c r="E86">
        <v>35</v>
      </c>
      <c r="F86">
        <v>20</v>
      </c>
      <c r="G86">
        <v>110</v>
      </c>
      <c r="H86">
        <v>4</v>
      </c>
      <c r="I86">
        <v>7</v>
      </c>
      <c r="J86" t="s">
        <v>41</v>
      </c>
      <c r="K86">
        <v>3850</v>
      </c>
      <c r="L86">
        <v>8.8000000000000007</v>
      </c>
      <c r="M86" t="s">
        <v>42</v>
      </c>
      <c r="N86" t="s">
        <v>42</v>
      </c>
      <c r="O86" s="2">
        <f>D86+I86</f>
        <v>46128</v>
      </c>
    </row>
    <row r="87" spans="1:15" x14ac:dyDescent="0.25">
      <c r="A87" t="s">
        <v>201</v>
      </c>
      <c r="B87" t="s">
        <v>202</v>
      </c>
      <c r="C87" t="s">
        <v>40</v>
      </c>
      <c r="E87">
        <v>12</v>
      </c>
      <c r="F87">
        <v>20</v>
      </c>
      <c r="G87">
        <v>550</v>
      </c>
      <c r="H87">
        <v>5</v>
      </c>
      <c r="I87">
        <v>10</v>
      </c>
      <c r="J87" t="s">
        <v>56</v>
      </c>
      <c r="K87">
        <v>6600</v>
      </c>
      <c r="L87">
        <v>2.4</v>
      </c>
      <c r="M87" t="s">
        <v>42</v>
      </c>
      <c r="N87" t="s">
        <v>42</v>
      </c>
      <c r="O87" s="2"/>
    </row>
    <row r="88" spans="1:15" x14ac:dyDescent="0.25">
      <c r="A88" t="s">
        <v>203</v>
      </c>
      <c r="B88" t="s">
        <v>204</v>
      </c>
      <c r="C88" t="s">
        <v>48</v>
      </c>
      <c r="E88">
        <v>22</v>
      </c>
      <c r="F88">
        <v>15</v>
      </c>
      <c r="G88">
        <v>190</v>
      </c>
      <c r="H88">
        <v>3</v>
      </c>
      <c r="I88">
        <v>8</v>
      </c>
      <c r="J88" t="s">
        <v>49</v>
      </c>
      <c r="K88">
        <v>4180</v>
      </c>
      <c r="L88">
        <v>7.3</v>
      </c>
      <c r="M88" t="s">
        <v>42</v>
      </c>
      <c r="N88" t="s">
        <v>42</v>
      </c>
      <c r="O88" s="2"/>
    </row>
    <row r="89" spans="1:15" x14ac:dyDescent="0.25">
      <c r="A89" t="s">
        <v>205</v>
      </c>
      <c r="B89" t="s">
        <v>206</v>
      </c>
      <c r="C89" t="s">
        <v>45</v>
      </c>
      <c r="D89" s="2">
        <v>46124</v>
      </c>
      <c r="E89">
        <v>80</v>
      </c>
      <c r="F89">
        <v>40</v>
      </c>
      <c r="G89">
        <v>95</v>
      </c>
      <c r="H89">
        <v>10</v>
      </c>
      <c r="I89">
        <v>5</v>
      </c>
      <c r="J89" t="s">
        <v>41</v>
      </c>
      <c r="K89">
        <v>7600</v>
      </c>
      <c r="L89">
        <v>8</v>
      </c>
      <c r="M89" t="s">
        <v>42</v>
      </c>
      <c r="N89" t="s">
        <v>42</v>
      </c>
      <c r="O89" s="2">
        <f>D89+I89</f>
        <v>46129</v>
      </c>
    </row>
    <row r="90" spans="1:15" x14ac:dyDescent="0.25">
      <c r="A90" t="s">
        <v>207</v>
      </c>
      <c r="B90" t="s">
        <v>208</v>
      </c>
      <c r="C90" t="s">
        <v>40</v>
      </c>
      <c r="E90">
        <v>2</v>
      </c>
      <c r="F90">
        <v>10</v>
      </c>
      <c r="G90">
        <v>1499</v>
      </c>
      <c r="H90">
        <v>1</v>
      </c>
      <c r="I90">
        <v>15</v>
      </c>
      <c r="J90" t="s">
        <v>56</v>
      </c>
      <c r="K90">
        <v>2998</v>
      </c>
      <c r="L90">
        <v>2</v>
      </c>
      <c r="M90" t="s">
        <v>42</v>
      </c>
      <c r="N90" t="s">
        <v>42</v>
      </c>
      <c r="O90" s="2"/>
    </row>
    <row r="91" spans="1:15" x14ac:dyDescent="0.25">
      <c r="A91" t="s">
        <v>209</v>
      </c>
      <c r="B91" t="s">
        <v>210</v>
      </c>
      <c r="C91" t="s">
        <v>48</v>
      </c>
      <c r="E91">
        <v>50</v>
      </c>
      <c r="F91">
        <v>20</v>
      </c>
      <c r="G91">
        <v>75</v>
      </c>
      <c r="H91">
        <v>4</v>
      </c>
      <c r="I91">
        <v>7</v>
      </c>
      <c r="J91" t="s">
        <v>41</v>
      </c>
      <c r="K91">
        <v>3750</v>
      </c>
      <c r="L91">
        <v>12.5</v>
      </c>
      <c r="M91" t="s">
        <v>42</v>
      </c>
      <c r="N91" t="s">
        <v>42</v>
      </c>
      <c r="O91" s="2"/>
    </row>
    <row r="92" spans="1:15" x14ac:dyDescent="0.25">
      <c r="A92" t="s">
        <v>211</v>
      </c>
      <c r="B92" t="s">
        <v>212</v>
      </c>
      <c r="C92" t="s">
        <v>45</v>
      </c>
      <c r="D92" s="2">
        <v>46127</v>
      </c>
      <c r="E92">
        <v>150</v>
      </c>
      <c r="F92">
        <v>60</v>
      </c>
      <c r="G92">
        <v>55</v>
      </c>
      <c r="H92">
        <v>18</v>
      </c>
      <c r="I92">
        <v>4</v>
      </c>
      <c r="J92" t="s">
        <v>41</v>
      </c>
      <c r="K92">
        <v>8250</v>
      </c>
      <c r="L92">
        <v>8.3000000000000007</v>
      </c>
      <c r="M92" t="s">
        <v>42</v>
      </c>
      <c r="N92" t="s">
        <v>42</v>
      </c>
      <c r="O92" s="2">
        <f>D92+I92</f>
        <v>46131</v>
      </c>
    </row>
    <row r="93" spans="1:15" x14ac:dyDescent="0.25">
      <c r="A93" t="s">
        <v>213</v>
      </c>
      <c r="B93" t="s">
        <v>214</v>
      </c>
      <c r="C93" t="s">
        <v>40</v>
      </c>
      <c r="E93">
        <v>45</v>
      </c>
      <c r="F93">
        <v>30</v>
      </c>
      <c r="G93">
        <v>420</v>
      </c>
      <c r="H93">
        <v>8</v>
      </c>
      <c r="I93">
        <v>7</v>
      </c>
      <c r="J93" t="s">
        <v>41</v>
      </c>
      <c r="K93">
        <v>18900</v>
      </c>
      <c r="L93">
        <v>5.6</v>
      </c>
      <c r="M93" t="s">
        <v>42</v>
      </c>
      <c r="N93" t="s">
        <v>42</v>
      </c>
      <c r="O93" s="2"/>
    </row>
    <row r="94" spans="1:15" x14ac:dyDescent="0.25">
      <c r="A94" t="s">
        <v>215</v>
      </c>
      <c r="B94" t="s">
        <v>216</v>
      </c>
      <c r="C94" t="s">
        <v>48</v>
      </c>
      <c r="E94">
        <v>8</v>
      </c>
      <c r="F94">
        <v>10</v>
      </c>
      <c r="G94">
        <v>250</v>
      </c>
      <c r="H94">
        <v>2</v>
      </c>
      <c r="I94">
        <v>20</v>
      </c>
      <c r="J94" t="s">
        <v>49</v>
      </c>
      <c r="K94">
        <v>2000</v>
      </c>
      <c r="L94">
        <v>4</v>
      </c>
      <c r="M94" t="s">
        <v>42</v>
      </c>
      <c r="N94" t="s">
        <v>42</v>
      </c>
      <c r="O94" s="2"/>
    </row>
    <row r="95" spans="1:15" x14ac:dyDescent="0.25">
      <c r="A95" t="s">
        <v>217</v>
      </c>
      <c r="B95" t="s">
        <v>218</v>
      </c>
      <c r="C95" t="s">
        <v>45</v>
      </c>
      <c r="D95" s="2">
        <v>46130</v>
      </c>
      <c r="E95">
        <v>110</v>
      </c>
      <c r="F95">
        <v>40</v>
      </c>
      <c r="G95">
        <v>89</v>
      </c>
      <c r="H95">
        <v>12</v>
      </c>
      <c r="I95">
        <v>5</v>
      </c>
      <c r="J95" t="s">
        <v>41</v>
      </c>
      <c r="K95">
        <v>9790</v>
      </c>
      <c r="L95">
        <v>9.1999999999999993</v>
      </c>
      <c r="M95" t="s">
        <v>42</v>
      </c>
      <c r="N95" t="s">
        <v>42</v>
      </c>
      <c r="O95" s="2">
        <f>D95+I95</f>
        <v>46135</v>
      </c>
    </row>
    <row r="96" spans="1:15" x14ac:dyDescent="0.25">
      <c r="A96" t="s">
        <v>219</v>
      </c>
      <c r="B96" t="s">
        <v>220</v>
      </c>
      <c r="C96" t="s">
        <v>40</v>
      </c>
      <c r="E96">
        <v>0</v>
      </c>
      <c r="F96">
        <v>25</v>
      </c>
      <c r="G96">
        <v>320</v>
      </c>
      <c r="H96">
        <v>6</v>
      </c>
      <c r="I96">
        <v>10</v>
      </c>
      <c r="J96" t="s">
        <v>41</v>
      </c>
      <c r="K96">
        <v>0</v>
      </c>
      <c r="L96">
        <v>0</v>
      </c>
      <c r="M96" t="s">
        <v>42</v>
      </c>
      <c r="N96" t="s">
        <v>42</v>
      </c>
      <c r="O96" s="2"/>
    </row>
    <row r="97" spans="1:15" x14ac:dyDescent="0.25">
      <c r="A97" t="s">
        <v>221</v>
      </c>
      <c r="B97" t="s">
        <v>222</v>
      </c>
      <c r="C97" t="s">
        <v>48</v>
      </c>
      <c r="E97">
        <v>400</v>
      </c>
      <c r="F97">
        <v>100</v>
      </c>
      <c r="G97">
        <v>35</v>
      </c>
      <c r="H97">
        <v>40</v>
      </c>
      <c r="I97">
        <v>3</v>
      </c>
      <c r="J97" t="s">
        <v>41</v>
      </c>
      <c r="K97">
        <v>14000</v>
      </c>
      <c r="L97">
        <v>10</v>
      </c>
      <c r="M97" t="s">
        <v>42</v>
      </c>
      <c r="N97" t="s">
        <v>42</v>
      </c>
      <c r="O97" s="2"/>
    </row>
    <row r="98" spans="1:15" x14ac:dyDescent="0.25">
      <c r="A98" t="s">
        <v>223</v>
      </c>
      <c r="B98" t="s">
        <v>224</v>
      </c>
      <c r="C98" t="s">
        <v>45</v>
      </c>
      <c r="D98" s="2">
        <v>46133</v>
      </c>
      <c r="E98">
        <v>55</v>
      </c>
      <c r="F98">
        <v>20</v>
      </c>
      <c r="G98">
        <v>120</v>
      </c>
      <c r="H98">
        <v>7</v>
      </c>
      <c r="I98">
        <v>6</v>
      </c>
      <c r="J98" t="s">
        <v>41</v>
      </c>
      <c r="K98">
        <v>6600</v>
      </c>
      <c r="L98">
        <v>7.9</v>
      </c>
      <c r="M98" t="s">
        <v>42</v>
      </c>
      <c r="N98" t="s">
        <v>42</v>
      </c>
      <c r="O98" s="2">
        <f>D98+I98</f>
        <v>46139</v>
      </c>
    </row>
    <row r="99" spans="1:15" x14ac:dyDescent="0.25">
      <c r="A99" t="s">
        <v>225</v>
      </c>
      <c r="B99" t="s">
        <v>226</v>
      </c>
      <c r="C99" t="s">
        <v>40</v>
      </c>
      <c r="E99">
        <v>15</v>
      </c>
      <c r="F99">
        <v>25</v>
      </c>
      <c r="G99">
        <v>650</v>
      </c>
      <c r="H99">
        <v>5</v>
      </c>
      <c r="I99">
        <v>12</v>
      </c>
      <c r="J99" t="s">
        <v>56</v>
      </c>
      <c r="K99">
        <v>9750</v>
      </c>
      <c r="L99">
        <v>3</v>
      </c>
      <c r="M99" t="s">
        <v>42</v>
      </c>
      <c r="N99" t="s">
        <v>42</v>
      </c>
      <c r="O99" s="2"/>
    </row>
    <row r="100" spans="1:15" x14ac:dyDescent="0.25">
      <c r="A100" t="s">
        <v>227</v>
      </c>
      <c r="B100" t="s">
        <v>228</v>
      </c>
      <c r="C100" t="s">
        <v>48</v>
      </c>
      <c r="E100">
        <v>30</v>
      </c>
      <c r="F100">
        <v>15</v>
      </c>
      <c r="G100">
        <v>220</v>
      </c>
      <c r="H100">
        <v>4</v>
      </c>
      <c r="I100">
        <v>10</v>
      </c>
      <c r="J100" t="s">
        <v>49</v>
      </c>
      <c r="K100">
        <v>6600</v>
      </c>
      <c r="L100">
        <v>7.5</v>
      </c>
      <c r="M100" t="s">
        <v>42</v>
      </c>
      <c r="N100" t="s">
        <v>42</v>
      </c>
      <c r="O100" s="2"/>
    </row>
    <row r="101" spans="1:15" x14ac:dyDescent="0.25">
      <c r="A101" t="s">
        <v>229</v>
      </c>
      <c r="B101" t="s">
        <v>230</v>
      </c>
      <c r="C101" t="s">
        <v>45</v>
      </c>
      <c r="D101" s="2">
        <v>46136</v>
      </c>
      <c r="E101">
        <v>85</v>
      </c>
      <c r="F101">
        <v>30</v>
      </c>
      <c r="G101">
        <v>95</v>
      </c>
      <c r="H101">
        <v>9</v>
      </c>
      <c r="I101">
        <v>5</v>
      </c>
      <c r="J101" t="s">
        <v>41</v>
      </c>
      <c r="K101">
        <v>8075</v>
      </c>
      <c r="L101">
        <v>9.4</v>
      </c>
      <c r="M101" t="s">
        <v>42</v>
      </c>
      <c r="N101" t="s">
        <v>42</v>
      </c>
      <c r="O101" s="2">
        <f>D101+I101</f>
        <v>46141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
  <sheetViews>
    <sheetView tabSelected="1" topLeftCell="A7" workbookViewId="0">
      <selection activeCell="A10" sqref="A10"/>
    </sheetView>
  </sheetViews>
  <sheetFormatPr defaultColWidth="12.5703125" defaultRowHeight="15.75" customHeight="1" x14ac:dyDescent="0.2"/>
  <cols>
    <col min="1" max="1" width="200.7109375" style="4" bestFit="1" customWidth="1"/>
    <col min="2" max="2" width="250.140625" style="4" bestFit="1" customWidth="1"/>
    <col min="3" max="3" width="12.5703125" style="4" customWidth="1"/>
    <col min="4" max="16384" width="12.5703125" style="4"/>
  </cols>
  <sheetData>
    <row r="1" spans="1:2" ht="15.75" customHeight="1" x14ac:dyDescent="0.3">
      <c r="A1" s="6" t="s">
        <v>231</v>
      </c>
    </row>
    <row r="2" spans="1:2" ht="409.5" customHeight="1" x14ac:dyDescent="0.2">
      <c r="A2" s="7" t="s">
        <v>232</v>
      </c>
      <c r="B2" s="8" t="s">
        <v>233</v>
      </c>
    </row>
    <row r="3" spans="1:2" ht="12.75" customHeight="1" x14ac:dyDescent="0.2">
      <c r="B3" s="5"/>
    </row>
    <row r="4" spans="1:2" ht="115.5" customHeight="1" x14ac:dyDescent="0.2">
      <c r="A4" s="9" t="s">
        <v>234</v>
      </c>
      <c r="B4" s="10" t="s">
        <v>235</v>
      </c>
    </row>
    <row r="5" spans="1:2" ht="12.75" customHeight="1" x14ac:dyDescent="0.2">
      <c r="B5" s="5"/>
    </row>
    <row r="6" spans="1:2" ht="153" customHeight="1" x14ac:dyDescent="0.2">
      <c r="A6" s="9" t="s">
        <v>236</v>
      </c>
      <c r="B6" s="10" t="s">
        <v>237</v>
      </c>
    </row>
    <row r="7" spans="1:2" ht="12.75" customHeight="1" x14ac:dyDescent="0.2">
      <c r="B7" s="5"/>
    </row>
    <row r="8" spans="1:2" ht="204" customHeight="1" x14ac:dyDescent="0.2">
      <c r="A8" s="9" t="s">
        <v>238</v>
      </c>
      <c r="B8" s="10" t="s">
        <v>239</v>
      </c>
    </row>
    <row r="9" spans="1:2" ht="12.75" customHeight="1" x14ac:dyDescent="0.2">
      <c r="B9" s="5"/>
    </row>
    <row r="10" spans="1:2" ht="140.25" customHeight="1" x14ac:dyDescent="0.2">
      <c r="A10" s="9" t="s">
        <v>240</v>
      </c>
      <c r="B10" s="10" t="s">
        <v>241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3:M13"/>
  <sheetViews>
    <sheetView workbookViewId="0">
      <selection activeCell="M7" sqref="M7"/>
    </sheetView>
  </sheetViews>
  <sheetFormatPr defaultRowHeight="15" x14ac:dyDescent="0.25"/>
  <cols>
    <col min="6" max="6" width="25" customWidth="1"/>
    <col min="7" max="7" width="18" customWidth="1"/>
    <col min="9" max="9" width="25" customWidth="1"/>
    <col min="10" max="10" width="18" customWidth="1"/>
    <col min="12" max="12" width="30" customWidth="1"/>
    <col min="13" max="13" width="15" customWidth="1"/>
  </cols>
  <sheetData>
    <row r="3" spans="6:13" x14ac:dyDescent="0.25">
      <c r="F3" s="11" t="s">
        <v>0</v>
      </c>
      <c r="G3" s="11" t="s">
        <v>1</v>
      </c>
      <c r="I3" s="11" t="s">
        <v>2</v>
      </c>
      <c r="J3" s="11" t="s">
        <v>3</v>
      </c>
      <c r="L3" s="11" t="s">
        <v>4</v>
      </c>
      <c r="M3" s="11" t="s">
        <v>5</v>
      </c>
    </row>
    <row r="4" spans="6:13" x14ac:dyDescent="0.25">
      <c r="F4" t="s">
        <v>6</v>
      </c>
      <c r="G4">
        <v>0</v>
      </c>
      <c r="I4" t="s">
        <v>7</v>
      </c>
      <c r="J4">
        <v>32300</v>
      </c>
      <c r="L4" t="s">
        <v>8</v>
      </c>
      <c r="M4">
        <v>26</v>
      </c>
    </row>
    <row r="5" spans="6:13" x14ac:dyDescent="0.25">
      <c r="F5" t="s">
        <v>9</v>
      </c>
      <c r="G5">
        <v>0</v>
      </c>
      <c r="I5" t="s">
        <v>10</v>
      </c>
      <c r="J5">
        <v>28000</v>
      </c>
      <c r="L5" t="s">
        <v>11</v>
      </c>
      <c r="M5">
        <v>10</v>
      </c>
    </row>
    <row r="6" spans="6:13" x14ac:dyDescent="0.25">
      <c r="F6" t="s">
        <v>12</v>
      </c>
      <c r="G6">
        <v>0</v>
      </c>
      <c r="I6" t="s">
        <v>13</v>
      </c>
      <c r="J6">
        <v>25500</v>
      </c>
    </row>
    <row r="7" spans="6:13" x14ac:dyDescent="0.25">
      <c r="F7" t="s">
        <v>14</v>
      </c>
      <c r="G7">
        <v>0</v>
      </c>
      <c r="I7" t="s">
        <v>15</v>
      </c>
      <c r="J7">
        <v>23400</v>
      </c>
    </row>
    <row r="8" spans="6:13" x14ac:dyDescent="0.25">
      <c r="F8" t="s">
        <v>16</v>
      </c>
      <c r="G8">
        <v>0</v>
      </c>
      <c r="I8" t="s">
        <v>17</v>
      </c>
      <c r="J8">
        <v>22550</v>
      </c>
    </row>
    <row r="9" spans="6:13" x14ac:dyDescent="0.25">
      <c r="F9" t="s">
        <v>18</v>
      </c>
      <c r="G9">
        <v>0</v>
      </c>
    </row>
    <row r="10" spans="6:13" x14ac:dyDescent="0.25">
      <c r="F10" t="s">
        <v>19</v>
      </c>
      <c r="G10">
        <v>0</v>
      </c>
    </row>
    <row r="11" spans="6:13" x14ac:dyDescent="0.25">
      <c r="F11" t="s">
        <v>20</v>
      </c>
      <c r="G11">
        <v>0</v>
      </c>
    </row>
    <row r="12" spans="6:13" x14ac:dyDescent="0.25">
      <c r="F12" t="s">
        <v>21</v>
      </c>
      <c r="G12">
        <v>0</v>
      </c>
    </row>
    <row r="13" spans="6:13" x14ac:dyDescent="0.25">
      <c r="F13" t="s">
        <v>22</v>
      </c>
      <c r="G1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Sheet1</vt:lpstr>
      <vt:lpstr>exercicios </vt:lpstr>
      <vt:lpstr>resolucao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João Pedro Ferreira Barrionuevo</cp:lastModifiedBy>
  <dcterms:created xsi:type="dcterms:W3CDTF">2026-03-12T05:03:44Z</dcterms:created>
  <dcterms:modified xsi:type="dcterms:W3CDTF">2026-03-12T14:31:48Z</dcterms:modified>
</cp:coreProperties>
</file>